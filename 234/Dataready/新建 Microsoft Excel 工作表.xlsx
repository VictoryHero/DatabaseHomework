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360" windowHeight="13176" activeTab="4"/>
  </bookViews>
  <sheets>
    <sheet name="student" sheetId="1" r:id="rId1"/>
    <sheet name="course" sheetId="2" r:id="rId2"/>
    <sheet name="student_course" sheetId="9" r:id="rId3"/>
    <sheet name="teacher" sheetId="7" r:id="rId4"/>
    <sheet name="teacher_course" sheetId="3" r:id="rId5"/>
    <sheet name="专业代码" sheetId="4" r:id="rId6"/>
    <sheet name="Sheet1" sheetId="8" state="hidden" r:id="rId7"/>
  </sheets>
  <definedNames>
    <definedName name="_xlnm._FilterDatabase" localSheetId="0" hidden="1">student!$H$2:$H$33</definedName>
    <definedName name="_xlnm.Extract" localSheetId="0">teacher_course!$D$2</definedName>
  </definedNames>
  <calcPr calcId="144525"/>
</workbook>
</file>

<file path=xl/calcChain.xml><?xml version="1.0" encoding="utf-8"?>
<calcChain xmlns="http://schemas.openxmlformats.org/spreadsheetml/2006/main">
  <c r="H33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<sst xmlns="http://schemas.openxmlformats.org/spreadsheetml/2006/main" count="523" uniqueCount="352">
  <si>
    <t>sno</t>
  </si>
  <si>
    <t>sname</t>
  </si>
  <si>
    <t>sex</t>
  </si>
  <si>
    <t>native</t>
  </si>
  <si>
    <t>birthday</t>
  </si>
  <si>
    <t>dno</t>
  </si>
  <si>
    <t>spno</t>
  </si>
  <si>
    <t>classno</t>
  </si>
  <si>
    <t>entime</t>
  </si>
  <si>
    <t>home</t>
  </si>
  <si>
    <t>tel</t>
  </si>
  <si>
    <t>吴文龙</t>
  </si>
  <si>
    <t>男</t>
  </si>
  <si>
    <t>山东省曹县</t>
  </si>
  <si>
    <t>2002/08/10</t>
  </si>
  <si>
    <t>计算机系</t>
  </si>
  <si>
    <t>山东省曹县190号</t>
  </si>
  <si>
    <t>552061190</t>
  </si>
  <si>
    <t>1202</t>
  </si>
  <si>
    <t>李英</t>
  </si>
  <si>
    <t>女</t>
  </si>
  <si>
    <t>兴安盟扎特旗</t>
  </si>
  <si>
    <t>2003/05/01</t>
  </si>
  <si>
    <t>数学系</t>
  </si>
  <si>
    <t>兴安盟扎特旗043号</t>
  </si>
  <si>
    <t>552063043</t>
  </si>
  <si>
    <t>2202</t>
  </si>
  <si>
    <t>陈艳文</t>
  </si>
  <si>
    <t>2004/01/10</t>
  </si>
  <si>
    <t>化学系</t>
  </si>
  <si>
    <t>兴安盟扎特旗232号</t>
  </si>
  <si>
    <t>552097232</t>
  </si>
  <si>
    <t>3202</t>
  </si>
  <si>
    <t>毕亚楠</t>
  </si>
  <si>
    <t>黑龙江省依安县</t>
  </si>
  <si>
    <t>2004/09/06</t>
  </si>
  <si>
    <t>理论物理系</t>
  </si>
  <si>
    <t>黑龙江省依安县182号</t>
  </si>
  <si>
    <t>552075182</t>
  </si>
  <si>
    <t>4202</t>
  </si>
  <si>
    <t>赵闯</t>
  </si>
  <si>
    <t>兴安盟突泉县</t>
  </si>
  <si>
    <t>2004/12/06</t>
  </si>
  <si>
    <t>原子物理系</t>
  </si>
  <si>
    <t>兴安盟突泉县336号</t>
  </si>
  <si>
    <t>552066336</t>
  </si>
  <si>
    <t>5202</t>
  </si>
  <si>
    <t>乔雅茹</t>
  </si>
  <si>
    <t>阿荣旗</t>
  </si>
  <si>
    <t>2003/06/09</t>
  </si>
  <si>
    <t>哲学系</t>
  </si>
  <si>
    <t>阿荣旗237号</t>
  </si>
  <si>
    <t>552034237</t>
  </si>
  <si>
    <t>6202</t>
  </si>
  <si>
    <t>杜雪梅</t>
  </si>
  <si>
    <t>黑龙江明水县</t>
  </si>
  <si>
    <t>2003/10/30</t>
  </si>
  <si>
    <t>文学系</t>
  </si>
  <si>
    <t>黑龙江明水县970号</t>
  </si>
  <si>
    <t>552088970</t>
  </si>
  <si>
    <t>7202</t>
  </si>
  <si>
    <t>佳雪</t>
  </si>
  <si>
    <t>莫力达瓦达斡尔族自治旗</t>
  </si>
  <si>
    <t>2003/11/28</t>
  </si>
  <si>
    <t>外语系</t>
  </si>
  <si>
    <t>莫力达瓦达斡尔族自治旗979号</t>
  </si>
  <si>
    <t>552053979</t>
  </si>
  <si>
    <t>8202</t>
  </si>
  <si>
    <t>张思哲</t>
  </si>
  <si>
    <t>黑龙江省拜泉县</t>
  </si>
  <si>
    <t>2003/09/08</t>
  </si>
  <si>
    <t>黑龙江省拜泉县286号</t>
  </si>
  <si>
    <t>552071286</t>
  </si>
  <si>
    <t>王瑞</t>
  </si>
  <si>
    <t>2004/01/01</t>
  </si>
  <si>
    <t>黑龙江省拜泉县756号</t>
  </si>
  <si>
    <t>552055756</t>
  </si>
  <si>
    <t>苏芳</t>
  </si>
  <si>
    <t>黑龙江省富裕县</t>
  </si>
  <si>
    <t>2002/08/24</t>
  </si>
  <si>
    <t>黑龙江省富裕县073号</t>
  </si>
  <si>
    <t>552077073</t>
  </si>
  <si>
    <t>敖子怡</t>
  </si>
  <si>
    <t>2003/05/19</t>
  </si>
  <si>
    <t>兴安盟扎特旗384号</t>
  </si>
  <si>
    <t>552059384</t>
  </si>
  <si>
    <t>赵祥林</t>
  </si>
  <si>
    <t>2003/07/23</t>
  </si>
  <si>
    <t>兴安盟扎特旗009号</t>
  </si>
  <si>
    <t>552048009</t>
  </si>
  <si>
    <t>刘佳林</t>
  </si>
  <si>
    <t>山东省寿光县</t>
  </si>
  <si>
    <t>2003/03/11</t>
  </si>
  <si>
    <t>山东省寿光县795号</t>
  </si>
  <si>
    <t>552070795</t>
  </si>
  <si>
    <t>金子寒</t>
  </si>
  <si>
    <t>黑龙江省齐齐哈尔市</t>
  </si>
  <si>
    <t>2003/11/10</t>
  </si>
  <si>
    <t>黑龙江省齐齐哈尔市137号</t>
  </si>
  <si>
    <t>552047137</t>
  </si>
  <si>
    <t>吴晶晶</t>
  </si>
  <si>
    <t>黑龙江省龙江县</t>
  </si>
  <si>
    <t>2003/08/03</t>
  </si>
  <si>
    <t>黑龙江省龙江县115号</t>
  </si>
  <si>
    <t>552024115</t>
  </si>
  <si>
    <t>单晓轩</t>
  </si>
  <si>
    <t>黑龙江省泰来县</t>
  </si>
  <si>
    <t>2003/05/22</t>
  </si>
  <si>
    <t>黑龙江省泰来县594号</t>
  </si>
  <si>
    <t>552037594</t>
  </si>
  <si>
    <t>1192</t>
  </si>
  <si>
    <t>丛学智</t>
  </si>
  <si>
    <t>2004/08/16</t>
  </si>
  <si>
    <t>黑龙江省龙江县451号</t>
  </si>
  <si>
    <t>552029451</t>
  </si>
  <si>
    <t>2192</t>
  </si>
  <si>
    <t>郭婉婷</t>
  </si>
  <si>
    <t>2003/03/13</t>
  </si>
  <si>
    <t>黑龙江省泰来县487号</t>
  </si>
  <si>
    <t>552028487</t>
  </si>
  <si>
    <t>3192</t>
  </si>
  <si>
    <t>郭婉珍</t>
  </si>
  <si>
    <t>黑龙江省泰来县585号</t>
  </si>
  <si>
    <t>552038585</t>
  </si>
  <si>
    <t>4192</t>
  </si>
  <si>
    <t>孙宏辰</t>
  </si>
  <si>
    <t>科尔沁左翼后旗</t>
  </si>
  <si>
    <t>2004/05/02</t>
  </si>
  <si>
    <t>科尔沁左翼后旗583号</t>
  </si>
  <si>
    <t>552098583</t>
  </si>
  <si>
    <t>5192</t>
  </si>
  <si>
    <t>阿丽玛</t>
  </si>
  <si>
    <t>鄂温克族自治旗</t>
  </si>
  <si>
    <t>2005/11/17</t>
  </si>
  <si>
    <t>鄂温克族自治旗006号</t>
  </si>
  <si>
    <t>552041006</t>
  </si>
  <si>
    <t>6192</t>
  </si>
  <si>
    <t>达博娜</t>
  </si>
  <si>
    <t>2004/05/11</t>
  </si>
  <si>
    <t>鄂温克族自治旗271号</t>
  </si>
  <si>
    <t>552071271</t>
  </si>
  <si>
    <t>7192</t>
  </si>
  <si>
    <t>白文琪</t>
  </si>
  <si>
    <t>哲里木盟</t>
  </si>
  <si>
    <t>2003/12/30</t>
  </si>
  <si>
    <t>哲里木盟563号</t>
  </si>
  <si>
    <t>552013563</t>
  </si>
  <si>
    <t>8192</t>
  </si>
  <si>
    <t>李新名</t>
  </si>
  <si>
    <t>河北省阳原县</t>
  </si>
  <si>
    <t>河北省阳原县768号</t>
  </si>
  <si>
    <t>552028768</t>
  </si>
  <si>
    <t>刘超</t>
  </si>
  <si>
    <t>黑龙江省源县</t>
  </si>
  <si>
    <t>2004/05/18</t>
  </si>
  <si>
    <t>黑龙江省源县889号</t>
  </si>
  <si>
    <t>552042889</t>
  </si>
  <si>
    <t>付佳宁</t>
  </si>
  <si>
    <t>2003/09/15</t>
  </si>
  <si>
    <t>黑龙江省源县277号</t>
  </si>
  <si>
    <t>552098277</t>
  </si>
  <si>
    <t>陈蕊</t>
  </si>
  <si>
    <t>黑龙江省兰西县</t>
  </si>
  <si>
    <t>2003/09/11</t>
  </si>
  <si>
    <t>黑龙江省兰西县826号</t>
  </si>
  <si>
    <t>552030826</t>
  </si>
  <si>
    <t>李想</t>
  </si>
  <si>
    <t>2004/05/29</t>
  </si>
  <si>
    <t>黑龙江省源县553号</t>
  </si>
  <si>
    <t>552026553</t>
  </si>
  <si>
    <t>吴雨欣</t>
  </si>
  <si>
    <t>2003/06/19</t>
  </si>
  <si>
    <t>黑龙江省齐齐哈尔市125号</t>
  </si>
  <si>
    <t>552028125</t>
  </si>
  <si>
    <t>赛汗</t>
  </si>
  <si>
    <t>2003/12/10</t>
  </si>
  <si>
    <t>鄂温克族自治旗210号</t>
  </si>
  <si>
    <t>552056210</t>
  </si>
  <si>
    <t>丛学文</t>
  </si>
  <si>
    <t>黑龙江</t>
  </si>
  <si>
    <t>2004/05/31</t>
  </si>
  <si>
    <t>黑龙江057号</t>
  </si>
  <si>
    <t>552026057</t>
  </si>
  <si>
    <t>cno</t>
  </si>
  <si>
    <t>cname</t>
  </si>
  <si>
    <t>ctno</t>
  </si>
  <si>
    <t>experiment</t>
  </si>
  <si>
    <t>lecture</t>
  </si>
  <si>
    <t>semester</t>
  </si>
  <si>
    <t>credit</t>
  </si>
  <si>
    <t>数据结构</t>
  </si>
  <si>
    <t>有机化学</t>
  </si>
  <si>
    <t>英语口语</t>
  </si>
  <si>
    <t>原子论基础</t>
  </si>
  <si>
    <t>欧洲古典文学</t>
  </si>
  <si>
    <t>人间词话</t>
  </si>
  <si>
    <t>力学应用</t>
  </si>
  <si>
    <t>组成原理</t>
  </si>
  <si>
    <t>俄语写作</t>
  </si>
  <si>
    <t>热学进阶</t>
  </si>
  <si>
    <t>相对论基础</t>
  </si>
  <si>
    <t>西欧哲学研究</t>
  </si>
  <si>
    <t>无机化学</t>
  </si>
  <si>
    <t>数学分析</t>
  </si>
  <si>
    <t>马克思哲学基础</t>
  </si>
  <si>
    <t>抽象代数</t>
  </si>
  <si>
    <t>tcid</t>
  </si>
  <si>
    <t>tno</t>
  </si>
  <si>
    <t>schoolyear</t>
  </si>
  <si>
    <t>classtime</t>
  </si>
  <si>
    <t>classroom</t>
  </si>
  <si>
    <t>weektime</t>
  </si>
  <si>
    <t>1001</t>
  </si>
  <si>
    <t>1002</t>
  </si>
  <si>
    <t>1003</t>
  </si>
  <si>
    <t>1004</t>
  </si>
  <si>
    <t>1005</t>
  </si>
  <si>
    <t>1006</t>
  </si>
  <si>
    <t>1007</t>
  </si>
  <si>
    <t>1008</t>
  </si>
  <si>
    <t>班级编号</t>
  </si>
  <si>
    <t>专业代码末尾+入学年份末2位+2</t>
  </si>
  <si>
    <t>sex</t>
    <phoneticPr fontId="2" type="noConversion"/>
  </si>
  <si>
    <t>杨上峰</t>
  </si>
  <si>
    <t>教授、博导</t>
  </si>
  <si>
    <t>sfyang@</t>
  </si>
  <si>
    <t> 系执行主任/中科院能量转换材料重点实验室副主任</t>
  </si>
  <si>
    <t>陈初升</t>
  </si>
  <si>
    <t>ccsm@</t>
  </si>
  <si>
    <t>杰青（2002）</t>
  </si>
  <si>
    <t>中科院能量转换材料重点实验室主任</t>
  </si>
  <si>
    <t>朱长飞</t>
  </si>
  <si>
    <t>cfzhu@</t>
  </si>
  <si>
    <t>中国科学技术大学副校长</t>
  </si>
  <si>
    <t>朱彦武</t>
  </si>
  <si>
    <t>zhuyanwu@</t>
  </si>
  <si>
    <t>系党总支书记</t>
  </si>
  <si>
    <t>武晓君</t>
  </si>
  <si>
    <t>xjwu@</t>
  </si>
  <si>
    <t>系教学副主任</t>
  </si>
  <si>
    <t>陆亚林</t>
  </si>
  <si>
    <t>yllu@</t>
  </si>
  <si>
    <t>陈春华</t>
  </si>
  <si>
    <t>cchchen@</t>
  </si>
  <si>
    <t>陈乾旺</t>
  </si>
  <si>
    <t>cqw@</t>
  </si>
  <si>
    <t>杰青（2001）、长江特聘教授（2002）</t>
  </si>
  <si>
    <t>徐　鑫</t>
  </si>
  <si>
    <t>xuxin@</t>
  </si>
  <si>
    <t>刘　卫</t>
  </si>
  <si>
    <t>wliu@</t>
  </si>
  <si>
    <t>夏长荣</t>
  </si>
  <si>
    <t>xiacr@</t>
  </si>
  <si>
    <t>新世纪优秀人才</t>
  </si>
  <si>
    <t>余　彦</t>
  </si>
  <si>
    <t>yanyumse@</t>
  </si>
  <si>
    <t>优青</t>
  </si>
  <si>
    <t>杜平武</t>
  </si>
  <si>
    <t> 63606207</t>
  </si>
  <si>
    <t>dupingwu@</t>
  </si>
  <si>
    <t>向　斌</t>
  </si>
  <si>
    <t> 63607833</t>
  </si>
  <si>
    <t>binxiang@</t>
  </si>
  <si>
    <t>初宝进</t>
  </si>
  <si>
    <t> 63607397</t>
  </si>
  <si>
    <t>chubj@</t>
  </si>
  <si>
    <t>陈 涛</t>
  </si>
  <si>
    <t>tchenmse@</t>
  </si>
  <si>
    <t>章根强</t>
  </si>
  <si>
    <r>
      <t>gqzhangmse</t>
    </r>
    <r>
      <rPr>
        <sz val="7"/>
        <color theme="1"/>
        <rFont val="宋体"/>
        <family val="3"/>
        <charset val="134"/>
        <scheme val="minor"/>
      </rPr>
      <t>@</t>
    </r>
  </si>
  <si>
    <t>马　骋</t>
  </si>
  <si>
    <t> 63607516</t>
  </si>
  <si>
    <t>mach16@</t>
  </si>
  <si>
    <t>曹瑞国</t>
  </si>
  <si>
    <t>63601807 </t>
  </si>
  <si>
    <t>rgcao@</t>
  </si>
  <si>
    <t>男</t>
    <phoneticPr fontId="2" type="noConversion"/>
  </si>
  <si>
    <t>tno</t>
    <phoneticPr fontId="2" type="noConversion"/>
  </si>
  <si>
    <t>tname</t>
    <phoneticPr fontId="2" type="noConversion"/>
  </si>
  <si>
    <t xml:space="preserve">birthday </t>
    <phoneticPr fontId="2" type="noConversion"/>
  </si>
  <si>
    <t>dno</t>
    <phoneticPr fontId="2" type="noConversion"/>
  </si>
  <si>
    <t>pno</t>
    <phoneticPr fontId="2" type="noConversion"/>
  </si>
  <si>
    <t>home</t>
    <phoneticPr fontId="2" type="noConversion"/>
  </si>
  <si>
    <t>zipcode</t>
    <phoneticPr fontId="2" type="noConversion"/>
  </si>
  <si>
    <t>tel</t>
    <phoneticPr fontId="2" type="noConversion"/>
  </si>
  <si>
    <t>email</t>
    <phoneticPr fontId="2" type="noConversion"/>
  </si>
  <si>
    <t>杨上峰</t>
    <phoneticPr fontId="2" type="noConversion"/>
  </si>
  <si>
    <t>男</t>
    <phoneticPr fontId="2" type="noConversion"/>
  </si>
  <si>
    <t>陈初升</t>
    <phoneticPr fontId="2" type="noConversion"/>
  </si>
  <si>
    <t>朱长飞</t>
    <phoneticPr fontId="2" type="noConversion"/>
  </si>
  <si>
    <t>朱彦武</t>
    <phoneticPr fontId="2" type="noConversion"/>
  </si>
  <si>
    <t>武晓君</t>
    <phoneticPr fontId="2" type="noConversion"/>
  </si>
  <si>
    <t>女</t>
    <phoneticPr fontId="2" type="noConversion"/>
  </si>
  <si>
    <t>陆亚林</t>
    <phoneticPr fontId="2" type="noConversion"/>
  </si>
  <si>
    <t>陈春华</t>
    <phoneticPr fontId="2" type="noConversion"/>
  </si>
  <si>
    <t>陈乾旺</t>
    <phoneticPr fontId="2" type="noConversion"/>
  </si>
  <si>
    <t>徐　鑫</t>
    <phoneticPr fontId="2" type="noConversion"/>
  </si>
  <si>
    <t>刘　卫</t>
    <phoneticPr fontId="2" type="noConversion"/>
  </si>
  <si>
    <t>夏长荣</t>
    <phoneticPr fontId="2" type="noConversion"/>
  </si>
  <si>
    <t>余　彦</t>
    <phoneticPr fontId="2" type="noConversion"/>
  </si>
  <si>
    <t>杜平武</t>
    <phoneticPr fontId="2" type="noConversion"/>
  </si>
  <si>
    <t>男</t>
    <phoneticPr fontId="2" type="noConversion"/>
  </si>
  <si>
    <t>1952/7/2</t>
  </si>
  <si>
    <t>1968/3/23</t>
  </si>
  <si>
    <t>1964/7/3</t>
  </si>
  <si>
    <t>1959/4/12</t>
  </si>
  <si>
    <t>1979/10/14</t>
  </si>
  <si>
    <t>1980/7/17</t>
  </si>
  <si>
    <t>1975/5/22</t>
  </si>
  <si>
    <t>1963/1/3</t>
  </si>
  <si>
    <t>1974/11/24</t>
  </si>
  <si>
    <t>1966/1/26</t>
  </si>
  <si>
    <t>1966/3/20</t>
  </si>
  <si>
    <t>1950/9/24</t>
  </si>
  <si>
    <t>1959/7/5</t>
  </si>
  <si>
    <t>1972/5/9</t>
  </si>
  <si>
    <t>1971/1/18</t>
  </si>
  <si>
    <t>1956/1/19</t>
  </si>
  <si>
    <r>
      <t>A</t>
    </r>
    <r>
      <rPr>
        <sz val="11"/>
        <color theme="1"/>
        <rFont val="宋体"/>
        <family val="3"/>
        <charset val="134"/>
        <scheme val="minor"/>
      </rPr>
      <t>301</t>
    </r>
    <phoneticPr fontId="8" type="noConversion"/>
  </si>
  <si>
    <r>
      <t>A</t>
    </r>
    <r>
      <rPr>
        <sz val="11"/>
        <color theme="1"/>
        <rFont val="宋体"/>
        <family val="3"/>
        <charset val="134"/>
        <scheme val="minor"/>
      </rPr>
      <t>B402</t>
    </r>
    <phoneticPr fontId="8" type="noConversion"/>
  </si>
  <si>
    <t>C101</t>
    <phoneticPr fontId="8" type="noConversion"/>
  </si>
  <si>
    <t>A201</t>
    <phoneticPr fontId="8" type="noConversion"/>
  </si>
  <si>
    <t>A117</t>
    <phoneticPr fontId="8" type="noConversion"/>
  </si>
  <si>
    <t>B212</t>
    <phoneticPr fontId="8" type="noConversion"/>
  </si>
  <si>
    <t>A403</t>
    <phoneticPr fontId="8" type="noConversion"/>
  </si>
  <si>
    <t>A510</t>
    <phoneticPr fontId="8" type="noConversion"/>
  </si>
  <si>
    <t>B106</t>
    <phoneticPr fontId="8" type="noConversion"/>
  </si>
  <si>
    <t>C201</t>
    <phoneticPr fontId="8" type="noConversion"/>
  </si>
  <si>
    <t>C203</t>
    <phoneticPr fontId="8" type="noConversion"/>
  </si>
  <si>
    <t>B304</t>
    <phoneticPr fontId="8" type="noConversion"/>
  </si>
  <si>
    <t>B507</t>
    <phoneticPr fontId="8" type="noConversion"/>
  </si>
  <si>
    <t>C301</t>
    <phoneticPr fontId="8" type="noConversion"/>
  </si>
  <si>
    <t>A610</t>
    <phoneticPr fontId="8" type="noConversion"/>
  </si>
  <si>
    <t>A506</t>
    <phoneticPr fontId="8" type="noConversion"/>
  </si>
  <si>
    <t>周二12节&amp;周一34节&amp;全周</t>
    <phoneticPr fontId="8" type="noConversion"/>
  </si>
  <si>
    <t>周三5678节&amp;周四1234节&amp;全周</t>
    <phoneticPr fontId="8" type="noConversion"/>
  </si>
  <si>
    <t>周一34910节&amp;周五1256节&amp;全周</t>
    <phoneticPr fontId="8" type="noConversion"/>
  </si>
  <si>
    <t>周一12节&amp;周三56节&amp;全周</t>
    <phoneticPr fontId="8" type="noConversion"/>
  </si>
  <si>
    <t>周三1278节&amp;周四56节&amp;全周</t>
    <phoneticPr fontId="8" type="noConversion"/>
  </si>
  <si>
    <t>周三78节&amp;全周</t>
    <phoneticPr fontId="8" type="noConversion"/>
  </si>
  <si>
    <t>周四12节&amp;全周</t>
    <phoneticPr fontId="8" type="noConversion"/>
  </si>
  <si>
    <t>周三34节&amp;周四34节&amp;全周</t>
    <phoneticPr fontId="8" type="noConversion"/>
  </si>
  <si>
    <t>周二1234节&amp;周五78节&amp;全周</t>
    <phoneticPr fontId="8" type="noConversion"/>
  </si>
  <si>
    <t>周二12345678节&amp;周五910节&amp;全周</t>
    <phoneticPr fontId="8" type="noConversion"/>
  </si>
  <si>
    <t>周三78910节&amp;周四3456节&amp;全周</t>
    <phoneticPr fontId="8" type="noConversion"/>
  </si>
  <si>
    <t>周一34节&amp;周二78节&amp;全周</t>
    <phoneticPr fontId="8" type="noConversion"/>
  </si>
  <si>
    <t>周一78节&amp;周三78910节&amp;全周</t>
    <phoneticPr fontId="8" type="noConversion"/>
  </si>
  <si>
    <t>周三78节&amp;周四34节&amp;全周</t>
    <phoneticPr fontId="8" type="noConversion"/>
  </si>
  <si>
    <t>周二56节&amp;周三56节&amp;全周</t>
    <phoneticPr fontId="8" type="noConversion"/>
  </si>
  <si>
    <r>
      <t>t</t>
    </r>
    <r>
      <rPr>
        <sz val="11"/>
        <color theme="1"/>
        <rFont val="宋体"/>
        <family val="3"/>
        <charset val="134"/>
        <scheme val="minor"/>
      </rPr>
      <t>cid</t>
    </r>
    <phoneticPr fontId="8" type="noConversion"/>
  </si>
  <si>
    <r>
      <t>s</t>
    </r>
    <r>
      <rPr>
        <sz val="11"/>
        <color theme="1"/>
        <rFont val="宋体"/>
        <family val="3"/>
        <charset val="134"/>
        <scheme val="minor"/>
      </rPr>
      <t>no</t>
    </r>
    <phoneticPr fontId="8" type="noConversion"/>
  </si>
  <si>
    <t>score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</si>
</sst>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宋体"/>
      <family val="3"/>
      <charset val="134"/>
      <scheme val="minor"/>
    </font>
    <font>
      <sz val="7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14" fontId="0" fillId="0" borderId="0" xfId="0" applyNumberFormat="1"/>
    <xf numFmtId="0" fontId="0" fillId="0" borderId="0" xfId="0" applyFont="1" applyFill="1" applyAlignment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mse.ustc.edu.cn/2010/0707/c3333a28956/page.htm" TargetMode="External"/><Relationship Id="rId13" Type="http://schemas.openxmlformats.org/officeDocument/2006/relationships/hyperlink" Target="http://staff.ustc.edu.cn/~dupingwu/index.html" TargetMode="External"/><Relationship Id="rId18" Type="http://schemas.openxmlformats.org/officeDocument/2006/relationships/hyperlink" Target="http://staff.ustc.edu.cn/~mach16/" TargetMode="External"/><Relationship Id="rId3" Type="http://schemas.openxmlformats.org/officeDocument/2006/relationships/hyperlink" Target="http://mse.ustc.edu.cn/2010/0707/c3333a28961/page.htm" TargetMode="External"/><Relationship Id="rId7" Type="http://schemas.openxmlformats.org/officeDocument/2006/relationships/hyperlink" Target="http://libattery.ustc.edu.cn/" TargetMode="External"/><Relationship Id="rId12" Type="http://schemas.openxmlformats.org/officeDocument/2006/relationships/hyperlink" Target="http://staff.ustc.edu.cn/~yanyumse/index.html" TargetMode="External"/><Relationship Id="rId17" Type="http://schemas.openxmlformats.org/officeDocument/2006/relationships/hyperlink" Target="http://zhanglab.ustc.edu.cn/" TargetMode="External"/><Relationship Id="rId2" Type="http://schemas.openxmlformats.org/officeDocument/2006/relationships/hyperlink" Target="http://mse.ustc.edu.cn/2010/0707/c3333a28958/page.htm" TargetMode="External"/><Relationship Id="rId16" Type="http://schemas.openxmlformats.org/officeDocument/2006/relationships/hyperlink" Target="http://staff.ustc.edu.cn/~tchenmse/index.html" TargetMode="External"/><Relationship Id="rId1" Type="http://schemas.openxmlformats.org/officeDocument/2006/relationships/hyperlink" Target="http://staff.ustc.edu.cn/~sfyang/" TargetMode="External"/><Relationship Id="rId6" Type="http://schemas.openxmlformats.org/officeDocument/2006/relationships/hyperlink" Target="http://yllu.ustc.edu.cn/" TargetMode="External"/><Relationship Id="rId11" Type="http://schemas.openxmlformats.org/officeDocument/2006/relationships/hyperlink" Target="http://staff.ustc.edu.cn/~xiacr/index.html" TargetMode="External"/><Relationship Id="rId5" Type="http://schemas.openxmlformats.org/officeDocument/2006/relationships/hyperlink" Target="http://staff.ustc.edu.cn/~xjwu/" TargetMode="External"/><Relationship Id="rId15" Type="http://schemas.openxmlformats.org/officeDocument/2006/relationships/hyperlink" Target="http://staff.ustc.edu.cn/~chubj/index.html" TargetMode="External"/><Relationship Id="rId10" Type="http://schemas.openxmlformats.org/officeDocument/2006/relationships/hyperlink" Target="http://mse.ustc.edu.cn/2010/0707/c3333a28986/page.htm" TargetMode="External"/><Relationship Id="rId19" Type="http://schemas.openxmlformats.org/officeDocument/2006/relationships/hyperlink" Target="http://mse.ustc.edu.cn/2016/1024/c3333a29024/page.htm" TargetMode="External"/><Relationship Id="rId4" Type="http://schemas.openxmlformats.org/officeDocument/2006/relationships/hyperlink" Target="http://staff.ustc.edu.cn/~zhuyanwu/index.html" TargetMode="External"/><Relationship Id="rId9" Type="http://schemas.openxmlformats.org/officeDocument/2006/relationships/hyperlink" Target="http://mse.ustc.edu.cn/2010/0707/c3333a28963/page.htm" TargetMode="External"/><Relationship Id="rId14" Type="http://schemas.openxmlformats.org/officeDocument/2006/relationships/hyperlink" Target="http://mse.ustc.edu.cn/2012/0912/c3333a29001/pag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C12" sqref="C12"/>
    </sheetView>
  </sheetViews>
  <sheetFormatPr defaultColWidth="9" defaultRowHeight="14.4" x14ac:dyDescent="0.25"/>
  <cols>
    <col min="1" max="1" width="13" customWidth="1"/>
    <col min="4" max="4" width="23.44140625" customWidth="1"/>
    <col min="5" max="5" width="11.6640625" customWidth="1"/>
    <col min="6" max="6" width="11" customWidth="1"/>
    <col min="8" max="8" width="23.6640625" customWidth="1"/>
    <col min="9" max="9" width="10.44140625" customWidth="1"/>
    <col min="10" max="10" width="30.33203125" bestFit="1" customWidth="1"/>
    <col min="11" max="11" width="10.44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2020101</v>
      </c>
      <c r="B2" t="s">
        <v>11</v>
      </c>
      <c r="C2" t="s">
        <v>12</v>
      </c>
      <c r="D2" t="s">
        <v>13</v>
      </c>
      <c r="E2" s="1" t="s">
        <v>14</v>
      </c>
      <c r="F2" t="s">
        <v>15</v>
      </c>
      <c r="G2">
        <v>10001</v>
      </c>
      <c r="H2" t="str">
        <f>MID(G2,5,1)&amp;MID(A2,3,2)&amp;"2"</f>
        <v>1202</v>
      </c>
      <c r="I2" s="1">
        <v>44075</v>
      </c>
      <c r="J2" t="s">
        <v>16</v>
      </c>
      <c r="K2" t="s">
        <v>17</v>
      </c>
    </row>
    <row r="3" spans="1:11" x14ac:dyDescent="0.25">
      <c r="A3">
        <v>2020102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10002</v>
      </c>
      <c r="H3" t="str">
        <f t="shared" ref="H3:H33" si="0">MID(G3,5,1)&amp;MID(A3,3,2)&amp;"2"</f>
        <v>2202</v>
      </c>
      <c r="I3" s="1">
        <v>44075</v>
      </c>
      <c r="J3" t="s">
        <v>24</v>
      </c>
      <c r="K3" t="s">
        <v>25</v>
      </c>
    </row>
    <row r="4" spans="1:11" x14ac:dyDescent="0.25">
      <c r="A4">
        <v>2020103</v>
      </c>
      <c r="B4" t="s">
        <v>27</v>
      </c>
      <c r="C4" t="s">
        <v>20</v>
      </c>
      <c r="D4" t="s">
        <v>21</v>
      </c>
      <c r="E4" t="s">
        <v>28</v>
      </c>
      <c r="F4" t="s">
        <v>29</v>
      </c>
      <c r="G4">
        <v>10003</v>
      </c>
      <c r="H4" t="str">
        <f t="shared" si="0"/>
        <v>3202</v>
      </c>
      <c r="I4" s="1">
        <v>44075</v>
      </c>
      <c r="J4" t="s">
        <v>30</v>
      </c>
      <c r="K4" t="s">
        <v>31</v>
      </c>
    </row>
    <row r="5" spans="1:11" x14ac:dyDescent="0.25">
      <c r="A5">
        <v>2020104</v>
      </c>
      <c r="B5" t="s">
        <v>33</v>
      </c>
      <c r="C5" t="s">
        <v>20</v>
      </c>
      <c r="D5" t="s">
        <v>34</v>
      </c>
      <c r="E5" t="s">
        <v>35</v>
      </c>
      <c r="F5" t="s">
        <v>36</v>
      </c>
      <c r="G5">
        <v>10004</v>
      </c>
      <c r="H5" t="str">
        <f t="shared" si="0"/>
        <v>4202</v>
      </c>
      <c r="I5" s="1">
        <v>44075</v>
      </c>
      <c r="J5" t="s">
        <v>37</v>
      </c>
      <c r="K5" t="s">
        <v>38</v>
      </c>
    </row>
    <row r="6" spans="1:11" x14ac:dyDescent="0.25">
      <c r="A6">
        <v>2020105</v>
      </c>
      <c r="B6" t="s">
        <v>40</v>
      </c>
      <c r="C6" t="s">
        <v>12</v>
      </c>
      <c r="D6" t="s">
        <v>41</v>
      </c>
      <c r="E6" t="s">
        <v>42</v>
      </c>
      <c r="F6" t="s">
        <v>43</v>
      </c>
      <c r="G6">
        <v>10005</v>
      </c>
      <c r="H6" t="str">
        <f t="shared" si="0"/>
        <v>5202</v>
      </c>
      <c r="I6" s="1">
        <v>44075</v>
      </c>
      <c r="J6" t="s">
        <v>44</v>
      </c>
      <c r="K6" t="s">
        <v>45</v>
      </c>
    </row>
    <row r="7" spans="1:11" x14ac:dyDescent="0.25">
      <c r="A7">
        <v>2020106</v>
      </c>
      <c r="B7" t="s">
        <v>47</v>
      </c>
      <c r="C7" t="s">
        <v>20</v>
      </c>
      <c r="D7" t="s">
        <v>48</v>
      </c>
      <c r="E7" t="s">
        <v>49</v>
      </c>
      <c r="F7" t="s">
        <v>50</v>
      </c>
      <c r="G7">
        <v>10006</v>
      </c>
      <c r="H7" t="str">
        <f t="shared" si="0"/>
        <v>6202</v>
      </c>
      <c r="I7" s="1">
        <v>44075</v>
      </c>
      <c r="J7" t="s">
        <v>51</v>
      </c>
      <c r="K7" t="s">
        <v>52</v>
      </c>
    </row>
    <row r="8" spans="1:11" x14ac:dyDescent="0.25">
      <c r="A8">
        <v>2020107</v>
      </c>
      <c r="B8" t="s">
        <v>54</v>
      </c>
      <c r="C8" t="s">
        <v>20</v>
      </c>
      <c r="D8" t="s">
        <v>55</v>
      </c>
      <c r="E8" t="s">
        <v>56</v>
      </c>
      <c r="F8" t="s">
        <v>57</v>
      </c>
      <c r="G8">
        <v>10007</v>
      </c>
      <c r="H8" t="str">
        <f t="shared" si="0"/>
        <v>7202</v>
      </c>
      <c r="I8" s="1">
        <v>44075</v>
      </c>
      <c r="J8" t="s">
        <v>58</v>
      </c>
      <c r="K8" t="s">
        <v>59</v>
      </c>
    </row>
    <row r="9" spans="1:11" x14ac:dyDescent="0.25">
      <c r="A9">
        <v>2020108</v>
      </c>
      <c r="B9" t="s">
        <v>61</v>
      </c>
      <c r="C9" t="s">
        <v>20</v>
      </c>
      <c r="D9" t="s">
        <v>62</v>
      </c>
      <c r="E9" t="s">
        <v>63</v>
      </c>
      <c r="F9" t="s">
        <v>64</v>
      </c>
      <c r="G9">
        <v>10008</v>
      </c>
      <c r="H9" t="str">
        <f t="shared" si="0"/>
        <v>8202</v>
      </c>
      <c r="I9" s="1">
        <v>44075</v>
      </c>
      <c r="J9" t="s">
        <v>65</v>
      </c>
      <c r="K9" t="s">
        <v>66</v>
      </c>
    </row>
    <row r="10" spans="1:11" x14ac:dyDescent="0.25">
      <c r="A10">
        <v>2020109</v>
      </c>
      <c r="B10" t="s">
        <v>68</v>
      </c>
      <c r="C10" t="s">
        <v>12</v>
      </c>
      <c r="D10" t="s">
        <v>69</v>
      </c>
      <c r="E10" t="s">
        <v>70</v>
      </c>
      <c r="F10" t="s">
        <v>15</v>
      </c>
      <c r="G10">
        <v>10001</v>
      </c>
      <c r="H10" t="str">
        <f t="shared" si="0"/>
        <v>1202</v>
      </c>
      <c r="I10" s="1">
        <v>44075</v>
      </c>
      <c r="J10" t="s">
        <v>71</v>
      </c>
      <c r="K10" t="s">
        <v>72</v>
      </c>
    </row>
    <row r="11" spans="1:11" x14ac:dyDescent="0.25">
      <c r="A11">
        <v>2020110</v>
      </c>
      <c r="B11" t="s">
        <v>73</v>
      </c>
      <c r="C11" t="s">
        <v>20</v>
      </c>
      <c r="D11" t="s">
        <v>69</v>
      </c>
      <c r="E11" t="s">
        <v>74</v>
      </c>
      <c r="F11" t="s">
        <v>23</v>
      </c>
      <c r="G11">
        <v>10002</v>
      </c>
      <c r="H11" t="str">
        <f t="shared" si="0"/>
        <v>2202</v>
      </c>
      <c r="I11" s="1">
        <v>44075</v>
      </c>
      <c r="J11" t="s">
        <v>75</v>
      </c>
      <c r="K11" t="s">
        <v>76</v>
      </c>
    </row>
    <row r="12" spans="1:11" x14ac:dyDescent="0.25">
      <c r="A12">
        <v>2020111</v>
      </c>
      <c r="B12" t="s">
        <v>77</v>
      </c>
      <c r="C12" t="s">
        <v>20</v>
      </c>
      <c r="D12" t="s">
        <v>78</v>
      </c>
      <c r="E12" t="s">
        <v>79</v>
      </c>
      <c r="F12" t="s">
        <v>15</v>
      </c>
      <c r="G12">
        <v>10001</v>
      </c>
      <c r="H12" t="str">
        <f t="shared" si="0"/>
        <v>1202</v>
      </c>
      <c r="I12" s="1">
        <v>44075</v>
      </c>
      <c r="J12" t="s">
        <v>80</v>
      </c>
      <c r="K12" t="s">
        <v>81</v>
      </c>
    </row>
    <row r="13" spans="1:11" x14ac:dyDescent="0.25">
      <c r="A13">
        <v>2020112</v>
      </c>
      <c r="B13" t="s">
        <v>82</v>
      </c>
      <c r="C13" t="s">
        <v>20</v>
      </c>
      <c r="D13" t="s">
        <v>21</v>
      </c>
      <c r="E13" t="s">
        <v>83</v>
      </c>
      <c r="F13" t="s">
        <v>50</v>
      </c>
      <c r="G13">
        <v>10006</v>
      </c>
      <c r="H13" t="str">
        <f t="shared" si="0"/>
        <v>6202</v>
      </c>
      <c r="I13" s="1">
        <v>44075</v>
      </c>
      <c r="J13" t="s">
        <v>84</v>
      </c>
      <c r="K13" t="s">
        <v>85</v>
      </c>
    </row>
    <row r="14" spans="1:11" x14ac:dyDescent="0.25">
      <c r="A14">
        <v>2020113</v>
      </c>
      <c r="B14" t="s">
        <v>86</v>
      </c>
      <c r="C14" t="s">
        <v>12</v>
      </c>
      <c r="D14" t="s">
        <v>21</v>
      </c>
      <c r="E14" t="s">
        <v>87</v>
      </c>
      <c r="F14" t="s">
        <v>15</v>
      </c>
      <c r="G14">
        <v>10001</v>
      </c>
      <c r="H14" t="str">
        <f t="shared" si="0"/>
        <v>1202</v>
      </c>
      <c r="I14" s="1">
        <v>44075</v>
      </c>
      <c r="J14" t="s">
        <v>88</v>
      </c>
      <c r="K14" t="s">
        <v>89</v>
      </c>
    </row>
    <row r="15" spans="1:11" x14ac:dyDescent="0.25">
      <c r="A15">
        <v>2020114</v>
      </c>
      <c r="B15" t="s">
        <v>90</v>
      </c>
      <c r="C15" t="s">
        <v>12</v>
      </c>
      <c r="D15" t="s">
        <v>91</v>
      </c>
      <c r="E15" t="s">
        <v>92</v>
      </c>
      <c r="F15" t="s">
        <v>50</v>
      </c>
      <c r="G15">
        <v>10006</v>
      </c>
      <c r="H15" t="str">
        <f t="shared" si="0"/>
        <v>6202</v>
      </c>
      <c r="I15" s="1">
        <v>44075</v>
      </c>
      <c r="J15" t="s">
        <v>93</v>
      </c>
      <c r="K15" t="s">
        <v>94</v>
      </c>
    </row>
    <row r="16" spans="1:11" x14ac:dyDescent="0.25">
      <c r="A16">
        <v>2020115</v>
      </c>
      <c r="B16" t="s">
        <v>95</v>
      </c>
      <c r="C16" t="s">
        <v>12</v>
      </c>
      <c r="D16" t="s">
        <v>96</v>
      </c>
      <c r="E16" t="s">
        <v>97</v>
      </c>
      <c r="F16" t="s">
        <v>57</v>
      </c>
      <c r="G16">
        <v>10007</v>
      </c>
      <c r="H16" t="str">
        <f t="shared" si="0"/>
        <v>7202</v>
      </c>
      <c r="I16" s="1">
        <v>44075</v>
      </c>
      <c r="J16" t="s">
        <v>98</v>
      </c>
      <c r="K16" t="s">
        <v>99</v>
      </c>
    </row>
    <row r="17" spans="1:11" x14ac:dyDescent="0.25">
      <c r="A17">
        <v>2020116</v>
      </c>
      <c r="B17" t="s">
        <v>100</v>
      </c>
      <c r="C17" t="s">
        <v>20</v>
      </c>
      <c r="D17" t="s">
        <v>101</v>
      </c>
      <c r="E17" t="s">
        <v>102</v>
      </c>
      <c r="F17" t="s">
        <v>64</v>
      </c>
      <c r="G17">
        <v>10008</v>
      </c>
      <c r="H17" t="str">
        <f t="shared" si="0"/>
        <v>8202</v>
      </c>
      <c r="I17" s="1">
        <v>44075</v>
      </c>
      <c r="J17" t="s">
        <v>103</v>
      </c>
      <c r="K17" t="s">
        <v>104</v>
      </c>
    </row>
    <row r="18" spans="1:11" x14ac:dyDescent="0.25">
      <c r="A18">
        <v>2019117</v>
      </c>
      <c r="B18" t="s">
        <v>105</v>
      </c>
      <c r="C18" t="s">
        <v>12</v>
      </c>
      <c r="D18" t="s">
        <v>106</v>
      </c>
      <c r="E18" t="s">
        <v>107</v>
      </c>
      <c r="F18" t="s">
        <v>15</v>
      </c>
      <c r="G18">
        <v>10001</v>
      </c>
      <c r="H18" t="str">
        <f t="shared" si="0"/>
        <v>1192</v>
      </c>
      <c r="I18" s="1">
        <v>43709</v>
      </c>
      <c r="J18" t="s">
        <v>108</v>
      </c>
      <c r="K18" t="s">
        <v>109</v>
      </c>
    </row>
    <row r="19" spans="1:11" x14ac:dyDescent="0.25">
      <c r="A19">
        <v>2019118</v>
      </c>
      <c r="B19" t="s">
        <v>111</v>
      </c>
      <c r="C19" t="s">
        <v>12</v>
      </c>
      <c r="D19" t="s">
        <v>101</v>
      </c>
      <c r="E19" t="s">
        <v>112</v>
      </c>
      <c r="F19" t="s">
        <v>23</v>
      </c>
      <c r="G19">
        <v>10002</v>
      </c>
      <c r="H19" t="str">
        <f t="shared" si="0"/>
        <v>2192</v>
      </c>
      <c r="I19" s="1">
        <v>43709</v>
      </c>
      <c r="J19" t="s">
        <v>113</v>
      </c>
      <c r="K19" t="s">
        <v>114</v>
      </c>
    </row>
    <row r="20" spans="1:11" x14ac:dyDescent="0.25">
      <c r="A20">
        <v>2019119</v>
      </c>
      <c r="B20" t="s">
        <v>116</v>
      </c>
      <c r="C20" t="s">
        <v>20</v>
      </c>
      <c r="D20" t="s">
        <v>106</v>
      </c>
      <c r="E20" t="s">
        <v>117</v>
      </c>
      <c r="F20" t="s">
        <v>29</v>
      </c>
      <c r="G20">
        <v>10003</v>
      </c>
      <c r="H20" t="str">
        <f t="shared" si="0"/>
        <v>3192</v>
      </c>
      <c r="I20" s="1">
        <v>43709</v>
      </c>
      <c r="J20" t="s">
        <v>118</v>
      </c>
      <c r="K20" t="s">
        <v>119</v>
      </c>
    </row>
    <row r="21" spans="1:11" x14ac:dyDescent="0.25">
      <c r="A21">
        <v>2019120</v>
      </c>
      <c r="B21" t="s">
        <v>121</v>
      </c>
      <c r="C21" t="s">
        <v>20</v>
      </c>
      <c r="D21" t="s">
        <v>106</v>
      </c>
      <c r="E21" t="s">
        <v>117</v>
      </c>
      <c r="F21" t="s">
        <v>36</v>
      </c>
      <c r="G21">
        <v>10004</v>
      </c>
      <c r="H21" t="str">
        <f t="shared" si="0"/>
        <v>4192</v>
      </c>
      <c r="I21" s="1">
        <v>43709</v>
      </c>
      <c r="J21" t="s">
        <v>122</v>
      </c>
      <c r="K21" t="s">
        <v>123</v>
      </c>
    </row>
    <row r="22" spans="1:11" x14ac:dyDescent="0.25">
      <c r="A22">
        <v>2019121</v>
      </c>
      <c r="B22" t="s">
        <v>125</v>
      </c>
      <c r="C22" t="s">
        <v>12</v>
      </c>
      <c r="D22" t="s">
        <v>126</v>
      </c>
      <c r="E22" t="s">
        <v>127</v>
      </c>
      <c r="F22" t="s">
        <v>43</v>
      </c>
      <c r="G22">
        <v>10005</v>
      </c>
      <c r="H22" t="str">
        <f t="shared" si="0"/>
        <v>5192</v>
      </c>
      <c r="I22" s="1">
        <v>43709</v>
      </c>
      <c r="J22" t="s">
        <v>128</v>
      </c>
      <c r="K22" t="s">
        <v>129</v>
      </c>
    </row>
    <row r="23" spans="1:11" x14ac:dyDescent="0.25">
      <c r="A23">
        <v>2019122</v>
      </c>
      <c r="B23" t="s">
        <v>131</v>
      </c>
      <c r="C23" t="s">
        <v>20</v>
      </c>
      <c r="D23" t="s">
        <v>132</v>
      </c>
      <c r="E23" t="s">
        <v>133</v>
      </c>
      <c r="F23" t="s">
        <v>50</v>
      </c>
      <c r="G23">
        <v>10006</v>
      </c>
      <c r="H23" t="str">
        <f t="shared" si="0"/>
        <v>6192</v>
      </c>
      <c r="I23" s="1">
        <v>43709</v>
      </c>
      <c r="J23" t="s">
        <v>134</v>
      </c>
      <c r="K23" t="s">
        <v>135</v>
      </c>
    </row>
    <row r="24" spans="1:11" x14ac:dyDescent="0.25">
      <c r="A24">
        <v>2019123</v>
      </c>
      <c r="B24" t="s">
        <v>137</v>
      </c>
      <c r="C24" t="s">
        <v>20</v>
      </c>
      <c r="D24" t="s">
        <v>132</v>
      </c>
      <c r="E24" t="s">
        <v>138</v>
      </c>
      <c r="F24" t="s">
        <v>57</v>
      </c>
      <c r="G24">
        <v>10007</v>
      </c>
      <c r="H24" t="str">
        <f t="shared" si="0"/>
        <v>7192</v>
      </c>
      <c r="I24" s="1">
        <v>43709</v>
      </c>
      <c r="J24" t="s">
        <v>139</v>
      </c>
      <c r="K24" t="s">
        <v>140</v>
      </c>
    </row>
    <row r="25" spans="1:11" x14ac:dyDescent="0.25">
      <c r="A25">
        <v>2019124</v>
      </c>
      <c r="B25" t="s">
        <v>142</v>
      </c>
      <c r="C25" t="s">
        <v>20</v>
      </c>
      <c r="D25" t="s">
        <v>143</v>
      </c>
      <c r="E25" t="s">
        <v>144</v>
      </c>
      <c r="F25" t="s">
        <v>64</v>
      </c>
      <c r="G25">
        <v>10008</v>
      </c>
      <c r="H25" t="str">
        <f t="shared" si="0"/>
        <v>8192</v>
      </c>
      <c r="I25" s="1">
        <v>43709</v>
      </c>
      <c r="J25" t="s">
        <v>145</v>
      </c>
      <c r="K25" t="s">
        <v>146</v>
      </c>
    </row>
    <row r="26" spans="1:11" x14ac:dyDescent="0.25">
      <c r="A26">
        <v>2019125</v>
      </c>
      <c r="B26" t="s">
        <v>148</v>
      </c>
      <c r="C26" t="s">
        <v>20</v>
      </c>
      <c r="D26" t="s">
        <v>149</v>
      </c>
      <c r="E26" t="s">
        <v>127</v>
      </c>
      <c r="F26" t="s">
        <v>15</v>
      </c>
      <c r="G26">
        <v>10001</v>
      </c>
      <c r="H26" t="str">
        <f t="shared" si="0"/>
        <v>1192</v>
      </c>
      <c r="I26" s="1">
        <v>43709</v>
      </c>
      <c r="J26" t="s">
        <v>150</v>
      </c>
      <c r="K26" t="s">
        <v>151</v>
      </c>
    </row>
    <row r="27" spans="1:11" x14ac:dyDescent="0.25">
      <c r="A27">
        <v>2019126</v>
      </c>
      <c r="B27" t="s">
        <v>152</v>
      </c>
      <c r="C27" t="s">
        <v>12</v>
      </c>
      <c r="D27" t="s">
        <v>153</v>
      </c>
      <c r="E27" t="s">
        <v>154</v>
      </c>
      <c r="F27" t="s">
        <v>23</v>
      </c>
      <c r="G27">
        <v>10002</v>
      </c>
      <c r="H27" t="str">
        <f t="shared" si="0"/>
        <v>2192</v>
      </c>
      <c r="I27" s="1">
        <v>43709</v>
      </c>
      <c r="J27" t="s">
        <v>155</v>
      </c>
      <c r="K27" t="s">
        <v>156</v>
      </c>
    </row>
    <row r="28" spans="1:11" x14ac:dyDescent="0.25">
      <c r="A28">
        <v>2019127</v>
      </c>
      <c r="B28" t="s">
        <v>157</v>
      </c>
      <c r="C28" t="s">
        <v>12</v>
      </c>
      <c r="D28" t="s">
        <v>153</v>
      </c>
      <c r="E28" t="s">
        <v>158</v>
      </c>
      <c r="F28" t="s">
        <v>29</v>
      </c>
      <c r="G28">
        <v>10003</v>
      </c>
      <c r="H28" t="str">
        <f t="shared" si="0"/>
        <v>3192</v>
      </c>
      <c r="I28" s="1">
        <v>43709</v>
      </c>
      <c r="J28" t="s">
        <v>159</v>
      </c>
      <c r="K28" t="s">
        <v>160</v>
      </c>
    </row>
    <row r="29" spans="1:11" x14ac:dyDescent="0.25">
      <c r="A29">
        <v>2019128</v>
      </c>
      <c r="B29" t="s">
        <v>161</v>
      </c>
      <c r="C29" t="s">
        <v>20</v>
      </c>
      <c r="D29" t="s">
        <v>162</v>
      </c>
      <c r="E29" t="s">
        <v>163</v>
      </c>
      <c r="F29" t="s">
        <v>36</v>
      </c>
      <c r="G29">
        <v>10004</v>
      </c>
      <c r="H29" t="str">
        <f t="shared" si="0"/>
        <v>4192</v>
      </c>
      <c r="I29" s="1">
        <v>43709</v>
      </c>
      <c r="J29" t="s">
        <v>164</v>
      </c>
      <c r="K29" t="s">
        <v>165</v>
      </c>
    </row>
    <row r="30" spans="1:11" x14ac:dyDescent="0.25">
      <c r="A30">
        <v>2019129</v>
      </c>
      <c r="B30" t="s">
        <v>166</v>
      </c>
      <c r="C30" t="s">
        <v>12</v>
      </c>
      <c r="D30" t="s">
        <v>153</v>
      </c>
      <c r="E30" t="s">
        <v>167</v>
      </c>
      <c r="F30" t="s">
        <v>43</v>
      </c>
      <c r="G30">
        <v>10005</v>
      </c>
      <c r="H30" t="str">
        <f t="shared" si="0"/>
        <v>5192</v>
      </c>
      <c r="I30" s="1">
        <v>43709</v>
      </c>
      <c r="J30" t="s">
        <v>168</v>
      </c>
      <c r="K30" t="s">
        <v>169</v>
      </c>
    </row>
    <row r="31" spans="1:11" x14ac:dyDescent="0.25">
      <c r="A31">
        <v>2019130</v>
      </c>
      <c r="B31" t="s">
        <v>170</v>
      </c>
      <c r="C31" t="s">
        <v>20</v>
      </c>
      <c r="D31" t="s">
        <v>96</v>
      </c>
      <c r="E31" t="s">
        <v>171</v>
      </c>
      <c r="F31" t="s">
        <v>50</v>
      </c>
      <c r="G31">
        <v>10006</v>
      </c>
      <c r="H31" t="str">
        <f t="shared" si="0"/>
        <v>6192</v>
      </c>
      <c r="I31" s="1">
        <v>43709</v>
      </c>
      <c r="J31" t="s">
        <v>172</v>
      </c>
      <c r="K31" t="s">
        <v>173</v>
      </c>
    </row>
    <row r="32" spans="1:11" x14ac:dyDescent="0.25">
      <c r="A32">
        <v>2019131</v>
      </c>
      <c r="B32" t="s">
        <v>174</v>
      </c>
      <c r="C32" t="s">
        <v>20</v>
      </c>
      <c r="D32" t="s">
        <v>132</v>
      </c>
      <c r="E32" t="s">
        <v>175</v>
      </c>
      <c r="F32" t="s">
        <v>15</v>
      </c>
      <c r="G32">
        <v>10001</v>
      </c>
      <c r="H32" t="str">
        <f t="shared" si="0"/>
        <v>1192</v>
      </c>
      <c r="I32" s="1">
        <v>43709</v>
      </c>
      <c r="J32" t="s">
        <v>176</v>
      </c>
      <c r="K32" t="s">
        <v>177</v>
      </c>
    </row>
    <row r="33" spans="1:11" x14ac:dyDescent="0.25">
      <c r="A33">
        <v>2019132</v>
      </c>
      <c r="B33" t="s">
        <v>178</v>
      </c>
      <c r="C33" t="s">
        <v>12</v>
      </c>
      <c r="D33" t="s">
        <v>179</v>
      </c>
      <c r="E33" t="s">
        <v>180</v>
      </c>
      <c r="F33" t="s">
        <v>64</v>
      </c>
      <c r="G33">
        <v>10008</v>
      </c>
      <c r="H33" t="str">
        <f t="shared" si="0"/>
        <v>8192</v>
      </c>
      <c r="I33" s="1">
        <v>43709</v>
      </c>
      <c r="J33" t="s">
        <v>181</v>
      </c>
      <c r="K33" t="s">
        <v>182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2" sqref="B2"/>
    </sheetView>
  </sheetViews>
  <sheetFormatPr defaultColWidth="9" defaultRowHeight="14.4" x14ac:dyDescent="0.25"/>
  <cols>
    <col min="1" max="1" width="13" customWidth="1"/>
    <col min="2" max="2" width="18.21875" customWidth="1"/>
    <col min="3" max="3" width="16.44140625" customWidth="1"/>
    <col min="4" max="5" width="11.88671875" customWidth="1"/>
  </cols>
  <sheetData>
    <row r="1" spans="1:8" x14ac:dyDescent="0.25">
      <c r="A1" t="s">
        <v>183</v>
      </c>
      <c r="B1" t="s">
        <v>6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</row>
    <row r="2" spans="1:8" x14ac:dyDescent="0.25">
      <c r="A2">
        <v>3001</v>
      </c>
      <c r="B2">
        <v>10001</v>
      </c>
      <c r="C2" t="s">
        <v>190</v>
      </c>
      <c r="D2">
        <v>1</v>
      </c>
      <c r="E2">
        <v>25</v>
      </c>
      <c r="F2">
        <v>50</v>
      </c>
      <c r="G2">
        <v>1</v>
      </c>
      <c r="H2">
        <v>3</v>
      </c>
    </row>
    <row r="3" spans="1:8" x14ac:dyDescent="0.25">
      <c r="A3">
        <v>3002</v>
      </c>
      <c r="B3">
        <v>10003</v>
      </c>
      <c r="C3" t="s">
        <v>191</v>
      </c>
      <c r="D3">
        <v>3</v>
      </c>
      <c r="E3">
        <v>30</v>
      </c>
      <c r="F3">
        <v>60</v>
      </c>
      <c r="G3">
        <v>2</v>
      </c>
      <c r="H3">
        <v>4</v>
      </c>
    </row>
    <row r="4" spans="1:8" x14ac:dyDescent="0.25">
      <c r="A4">
        <v>3003</v>
      </c>
      <c r="B4">
        <v>10008</v>
      </c>
      <c r="C4" t="s">
        <v>192</v>
      </c>
      <c r="D4">
        <v>8</v>
      </c>
      <c r="E4">
        <v>0</v>
      </c>
      <c r="F4">
        <v>20</v>
      </c>
      <c r="G4">
        <v>1</v>
      </c>
      <c r="H4">
        <v>2</v>
      </c>
    </row>
    <row r="5" spans="1:8" x14ac:dyDescent="0.25">
      <c r="A5">
        <v>3004</v>
      </c>
      <c r="B5">
        <v>10005</v>
      </c>
      <c r="C5" t="s">
        <v>193</v>
      </c>
      <c r="D5">
        <v>5</v>
      </c>
      <c r="E5">
        <v>17</v>
      </c>
      <c r="F5">
        <v>34</v>
      </c>
      <c r="G5">
        <v>1</v>
      </c>
      <c r="H5">
        <v>2</v>
      </c>
    </row>
    <row r="6" spans="1:8" x14ac:dyDescent="0.25">
      <c r="A6">
        <v>3005</v>
      </c>
      <c r="B6">
        <v>10007</v>
      </c>
      <c r="C6" t="s">
        <v>194</v>
      </c>
      <c r="D6">
        <v>7</v>
      </c>
      <c r="E6">
        <v>0</v>
      </c>
      <c r="F6">
        <v>30</v>
      </c>
      <c r="G6">
        <v>2</v>
      </c>
      <c r="H6">
        <v>3</v>
      </c>
    </row>
    <row r="7" spans="1:8" x14ac:dyDescent="0.25">
      <c r="A7">
        <v>3006</v>
      </c>
      <c r="B7">
        <v>10007</v>
      </c>
      <c r="C7" t="s">
        <v>195</v>
      </c>
      <c r="D7">
        <v>7</v>
      </c>
      <c r="E7">
        <v>5</v>
      </c>
      <c r="F7">
        <v>10</v>
      </c>
      <c r="G7">
        <v>1</v>
      </c>
      <c r="H7">
        <v>3</v>
      </c>
    </row>
    <row r="8" spans="1:8" x14ac:dyDescent="0.25">
      <c r="A8">
        <v>3007</v>
      </c>
      <c r="B8">
        <v>10004</v>
      </c>
      <c r="C8" t="s">
        <v>196</v>
      </c>
      <c r="D8">
        <v>4</v>
      </c>
      <c r="E8">
        <v>28</v>
      </c>
      <c r="F8">
        <v>56</v>
      </c>
      <c r="G8">
        <v>1</v>
      </c>
      <c r="H8">
        <v>3</v>
      </c>
    </row>
    <row r="9" spans="1:8" x14ac:dyDescent="0.25">
      <c r="A9">
        <v>3008</v>
      </c>
      <c r="B9">
        <v>10001</v>
      </c>
      <c r="C9" t="s">
        <v>197</v>
      </c>
      <c r="D9">
        <v>1</v>
      </c>
      <c r="E9">
        <v>25</v>
      </c>
      <c r="F9">
        <v>50</v>
      </c>
      <c r="G9">
        <v>2</v>
      </c>
      <c r="H9">
        <v>4</v>
      </c>
    </row>
    <row r="10" spans="1:8" x14ac:dyDescent="0.25">
      <c r="A10">
        <v>3009</v>
      </c>
      <c r="B10">
        <v>10008</v>
      </c>
      <c r="C10" t="s">
        <v>198</v>
      </c>
      <c r="D10">
        <v>8</v>
      </c>
      <c r="E10">
        <v>12</v>
      </c>
      <c r="F10">
        <v>24</v>
      </c>
      <c r="G10">
        <v>2</v>
      </c>
      <c r="H10">
        <v>2</v>
      </c>
    </row>
    <row r="11" spans="1:8" x14ac:dyDescent="0.25">
      <c r="A11">
        <v>3010</v>
      </c>
      <c r="B11">
        <v>10004</v>
      </c>
      <c r="C11" t="s">
        <v>199</v>
      </c>
      <c r="D11">
        <v>4</v>
      </c>
      <c r="E11">
        <v>32</v>
      </c>
      <c r="F11">
        <v>64</v>
      </c>
      <c r="G11">
        <v>2</v>
      </c>
      <c r="H11">
        <v>3</v>
      </c>
    </row>
    <row r="12" spans="1:8" x14ac:dyDescent="0.25">
      <c r="A12">
        <v>3011</v>
      </c>
      <c r="B12">
        <v>10005</v>
      </c>
      <c r="C12" t="s">
        <v>200</v>
      </c>
      <c r="D12">
        <v>5</v>
      </c>
      <c r="E12">
        <v>10</v>
      </c>
      <c r="F12">
        <v>20</v>
      </c>
      <c r="G12">
        <v>2</v>
      </c>
      <c r="H12">
        <v>1</v>
      </c>
    </row>
    <row r="13" spans="1:8" x14ac:dyDescent="0.25">
      <c r="A13">
        <v>3012</v>
      </c>
      <c r="B13">
        <v>10006</v>
      </c>
      <c r="C13" t="s">
        <v>201</v>
      </c>
      <c r="D13">
        <v>6</v>
      </c>
      <c r="E13">
        <v>0</v>
      </c>
      <c r="F13">
        <v>40</v>
      </c>
      <c r="G13">
        <v>2</v>
      </c>
      <c r="H13">
        <v>2</v>
      </c>
    </row>
    <row r="14" spans="1:8" x14ac:dyDescent="0.25">
      <c r="A14">
        <v>3013</v>
      </c>
      <c r="B14">
        <v>10003</v>
      </c>
      <c r="C14" t="s">
        <v>202</v>
      </c>
      <c r="D14">
        <v>3</v>
      </c>
      <c r="E14">
        <v>37</v>
      </c>
      <c r="F14">
        <v>74</v>
      </c>
      <c r="G14">
        <v>1</v>
      </c>
      <c r="H14">
        <v>4</v>
      </c>
    </row>
    <row r="15" spans="1:8" x14ac:dyDescent="0.25">
      <c r="A15">
        <v>3014</v>
      </c>
      <c r="B15">
        <v>10002</v>
      </c>
      <c r="C15" t="s">
        <v>203</v>
      </c>
      <c r="D15">
        <v>2</v>
      </c>
      <c r="E15">
        <v>12</v>
      </c>
      <c r="F15">
        <v>24</v>
      </c>
      <c r="G15">
        <v>1</v>
      </c>
      <c r="H15">
        <v>3</v>
      </c>
    </row>
    <row r="16" spans="1:8" x14ac:dyDescent="0.25">
      <c r="A16">
        <v>3015</v>
      </c>
      <c r="B16">
        <v>10006</v>
      </c>
      <c r="C16" t="s">
        <v>204</v>
      </c>
      <c r="D16">
        <v>6</v>
      </c>
      <c r="E16">
        <v>5</v>
      </c>
      <c r="F16">
        <v>10</v>
      </c>
      <c r="G16">
        <v>1</v>
      </c>
      <c r="H16">
        <v>4</v>
      </c>
    </row>
    <row r="17" spans="1:8" x14ac:dyDescent="0.25">
      <c r="A17">
        <v>3016</v>
      </c>
      <c r="B17">
        <v>10002</v>
      </c>
      <c r="C17" t="s">
        <v>205</v>
      </c>
      <c r="D17">
        <v>2</v>
      </c>
      <c r="E17">
        <v>10</v>
      </c>
      <c r="F17">
        <v>20</v>
      </c>
      <c r="G17">
        <v>2</v>
      </c>
      <c r="H17">
        <v>5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E19" sqref="E19"/>
    </sheetView>
  </sheetViews>
  <sheetFormatPr defaultRowHeight="14.4" x14ac:dyDescent="0.25"/>
  <sheetData>
    <row r="1" spans="1:11" x14ac:dyDescent="0.25">
      <c r="A1" s="9" t="s">
        <v>350</v>
      </c>
      <c r="B1" s="9" t="s">
        <v>349</v>
      </c>
      <c r="C1" s="9" t="s">
        <v>351</v>
      </c>
    </row>
    <row r="2" spans="1:11" x14ac:dyDescent="0.25">
      <c r="A2">
        <v>2020101</v>
      </c>
      <c r="B2">
        <v>50101</v>
      </c>
      <c r="C2">
        <v>75</v>
      </c>
    </row>
    <row r="3" spans="1:11" x14ac:dyDescent="0.25">
      <c r="A3">
        <v>2020102</v>
      </c>
      <c r="B3">
        <v>50102</v>
      </c>
      <c r="C3">
        <v>91</v>
      </c>
    </row>
    <row r="4" spans="1:11" x14ac:dyDescent="0.25">
      <c r="A4">
        <v>2020103</v>
      </c>
      <c r="B4">
        <v>50103</v>
      </c>
      <c r="C4">
        <v>99</v>
      </c>
      <c r="I4" s="2"/>
      <c r="K4" s="12"/>
    </row>
    <row r="5" spans="1:11" x14ac:dyDescent="0.25">
      <c r="A5">
        <v>2020104</v>
      </c>
      <c r="B5">
        <v>50104</v>
      </c>
      <c r="C5">
        <v>76</v>
      </c>
      <c r="I5" s="2"/>
      <c r="K5" s="12"/>
    </row>
    <row r="6" spans="1:11" x14ac:dyDescent="0.25">
      <c r="A6">
        <v>2020105</v>
      </c>
      <c r="B6">
        <v>50105</v>
      </c>
      <c r="C6">
        <v>95</v>
      </c>
      <c r="I6" s="2"/>
      <c r="K6" s="12"/>
    </row>
    <row r="7" spans="1:11" x14ac:dyDescent="0.25">
      <c r="A7">
        <v>2020106</v>
      </c>
      <c r="B7">
        <v>50106</v>
      </c>
      <c r="C7">
        <v>93</v>
      </c>
      <c r="I7" s="2"/>
      <c r="K7" s="12"/>
    </row>
    <row r="8" spans="1:11" x14ac:dyDescent="0.25">
      <c r="A8">
        <v>2020107</v>
      </c>
      <c r="B8">
        <v>50107</v>
      </c>
      <c r="C8">
        <v>68</v>
      </c>
      <c r="I8" s="2"/>
      <c r="K8" s="12"/>
    </row>
    <row r="9" spans="1:11" x14ac:dyDescent="0.25">
      <c r="A9">
        <v>2020108</v>
      </c>
      <c r="B9">
        <v>50108</v>
      </c>
      <c r="C9">
        <v>73</v>
      </c>
      <c r="I9" s="2"/>
      <c r="K9" s="12"/>
    </row>
    <row r="10" spans="1:11" x14ac:dyDescent="0.25">
      <c r="A10">
        <v>2020109</v>
      </c>
      <c r="B10">
        <v>50101</v>
      </c>
      <c r="C10">
        <v>96</v>
      </c>
      <c r="I10" s="2"/>
      <c r="K10" s="12"/>
    </row>
    <row r="11" spans="1:11" x14ac:dyDescent="0.25">
      <c r="A11">
        <v>2020110</v>
      </c>
      <c r="B11">
        <v>50102</v>
      </c>
      <c r="C11">
        <v>76</v>
      </c>
      <c r="I11" s="2"/>
      <c r="K11" s="12"/>
    </row>
    <row r="12" spans="1:11" x14ac:dyDescent="0.25">
      <c r="A12">
        <v>2020111</v>
      </c>
      <c r="B12">
        <v>50101</v>
      </c>
      <c r="C12">
        <v>89</v>
      </c>
      <c r="I12" s="2"/>
      <c r="K12" s="12"/>
    </row>
    <row r="13" spans="1:11" x14ac:dyDescent="0.25">
      <c r="A13">
        <v>2020112</v>
      </c>
      <c r="B13">
        <v>50106</v>
      </c>
      <c r="C13">
        <v>84</v>
      </c>
      <c r="I13" s="2"/>
      <c r="K13" s="12"/>
    </row>
    <row r="14" spans="1:11" x14ac:dyDescent="0.25">
      <c r="A14">
        <v>2020113</v>
      </c>
      <c r="B14">
        <v>50101</v>
      </c>
      <c r="C14">
        <v>68</v>
      </c>
      <c r="I14" s="2"/>
      <c r="K14" s="12"/>
    </row>
    <row r="15" spans="1:11" x14ac:dyDescent="0.25">
      <c r="A15">
        <v>2020114</v>
      </c>
      <c r="B15">
        <v>50106</v>
      </c>
      <c r="C15">
        <v>96</v>
      </c>
      <c r="I15" s="2"/>
      <c r="K15" s="12"/>
    </row>
    <row r="16" spans="1:11" x14ac:dyDescent="0.25">
      <c r="A16">
        <v>2020115</v>
      </c>
      <c r="B16">
        <v>50107</v>
      </c>
      <c r="C16">
        <v>68</v>
      </c>
      <c r="I16" s="2"/>
      <c r="K16" s="12"/>
    </row>
    <row r="17" spans="1:11" x14ac:dyDescent="0.25">
      <c r="A17">
        <v>2020116</v>
      </c>
      <c r="B17">
        <v>50108</v>
      </c>
      <c r="C17">
        <v>90</v>
      </c>
      <c r="I17" s="2"/>
      <c r="K17" s="12"/>
    </row>
    <row r="18" spans="1:11" x14ac:dyDescent="0.25">
      <c r="A18">
        <v>2019117</v>
      </c>
      <c r="B18">
        <v>50109</v>
      </c>
      <c r="C18">
        <v>71</v>
      </c>
      <c r="I18" s="2"/>
      <c r="K18" s="12"/>
    </row>
    <row r="19" spans="1:11" x14ac:dyDescent="0.25">
      <c r="A19">
        <v>2019118</v>
      </c>
      <c r="B19">
        <v>50110</v>
      </c>
      <c r="C19">
        <v>89</v>
      </c>
      <c r="I19" s="2"/>
      <c r="K19" s="12"/>
    </row>
    <row r="20" spans="1:11" x14ac:dyDescent="0.25">
      <c r="A20">
        <v>2019119</v>
      </c>
      <c r="B20">
        <v>50111</v>
      </c>
      <c r="C20">
        <v>68</v>
      </c>
    </row>
    <row r="21" spans="1:11" x14ac:dyDescent="0.25">
      <c r="A21">
        <v>2019120</v>
      </c>
      <c r="B21">
        <v>50112</v>
      </c>
      <c r="C21">
        <v>83</v>
      </c>
    </row>
    <row r="22" spans="1:11" x14ac:dyDescent="0.25">
      <c r="A22">
        <v>2019121</v>
      </c>
      <c r="B22">
        <v>50113</v>
      </c>
      <c r="C22">
        <v>84</v>
      </c>
    </row>
    <row r="23" spans="1:11" x14ac:dyDescent="0.25">
      <c r="A23">
        <v>2019122</v>
      </c>
      <c r="B23">
        <v>50114</v>
      </c>
      <c r="C23">
        <v>90</v>
      </c>
    </row>
    <row r="24" spans="1:11" x14ac:dyDescent="0.25">
      <c r="A24">
        <v>2019123</v>
      </c>
      <c r="B24">
        <v>50115</v>
      </c>
      <c r="C24">
        <v>85</v>
      </c>
    </row>
    <row r="25" spans="1:11" x14ac:dyDescent="0.25">
      <c r="A25">
        <v>2019124</v>
      </c>
      <c r="B25">
        <v>50116</v>
      </c>
      <c r="C25">
        <v>84</v>
      </c>
    </row>
    <row r="26" spans="1:11" x14ac:dyDescent="0.25">
      <c r="A26">
        <v>2019125</v>
      </c>
      <c r="B26">
        <v>50109</v>
      </c>
      <c r="C26">
        <v>74</v>
      </c>
    </row>
    <row r="27" spans="1:11" x14ac:dyDescent="0.25">
      <c r="A27">
        <v>2019126</v>
      </c>
      <c r="B27">
        <v>50110</v>
      </c>
      <c r="C27">
        <v>74</v>
      </c>
    </row>
    <row r="28" spans="1:11" x14ac:dyDescent="0.25">
      <c r="A28">
        <v>2019127</v>
      </c>
      <c r="B28">
        <v>50111</v>
      </c>
      <c r="C28">
        <v>70</v>
      </c>
    </row>
    <row r="29" spans="1:11" x14ac:dyDescent="0.25">
      <c r="A29">
        <v>2019128</v>
      </c>
      <c r="B29">
        <v>50112</v>
      </c>
      <c r="C29">
        <v>84</v>
      </c>
    </row>
    <row r="30" spans="1:11" x14ac:dyDescent="0.25">
      <c r="A30">
        <v>2019129</v>
      </c>
      <c r="B30">
        <v>50113</v>
      </c>
      <c r="C30">
        <v>95</v>
      </c>
    </row>
    <row r="31" spans="1:11" x14ac:dyDescent="0.25">
      <c r="A31">
        <v>2019130</v>
      </c>
      <c r="B31">
        <v>50114</v>
      </c>
      <c r="C31">
        <v>89</v>
      </c>
    </row>
    <row r="32" spans="1:11" x14ac:dyDescent="0.25">
      <c r="A32">
        <v>2019131</v>
      </c>
      <c r="B32">
        <v>50109</v>
      </c>
      <c r="C32">
        <v>97</v>
      </c>
    </row>
    <row r="33" spans="1:3" x14ac:dyDescent="0.25">
      <c r="A33">
        <v>2019132</v>
      </c>
      <c r="B33">
        <v>50116</v>
      </c>
      <c r="C33">
        <v>68</v>
      </c>
    </row>
  </sheetData>
  <phoneticPr fontId="8" type="noConversion"/>
  <conditionalFormatting sqref="I4:I19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A2" sqref="A2:A17"/>
    </sheetView>
  </sheetViews>
  <sheetFormatPr defaultColWidth="8.88671875" defaultRowHeight="14.4" x14ac:dyDescent="0.25"/>
  <cols>
    <col min="4" max="4" width="10.5546875" bestFit="1" customWidth="1"/>
    <col min="5" max="5" width="14.21875" customWidth="1"/>
    <col min="6" max="6" width="4.5546875" bestFit="1" customWidth="1"/>
    <col min="7" max="7" width="30.33203125" bestFit="1" customWidth="1"/>
    <col min="9" max="9" width="11.6640625" bestFit="1" customWidth="1"/>
    <col min="10" max="10" width="12.77734375" bestFit="1" customWidth="1"/>
  </cols>
  <sheetData>
    <row r="1" spans="1:10" x14ac:dyDescent="0.25">
      <c r="A1" t="s">
        <v>277</v>
      </c>
      <c r="B1" t="s">
        <v>278</v>
      </c>
      <c r="C1" t="s">
        <v>222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</row>
    <row r="2" spans="1:10" x14ac:dyDescent="0.25">
      <c r="A2">
        <v>90101</v>
      </c>
      <c r="B2" t="s">
        <v>286</v>
      </c>
      <c r="C2" t="s">
        <v>287</v>
      </c>
      <c r="D2" t="s">
        <v>302</v>
      </c>
      <c r="E2" t="s">
        <v>15</v>
      </c>
      <c r="F2">
        <v>1</v>
      </c>
      <c r="G2" t="s">
        <v>16</v>
      </c>
      <c r="H2">
        <v>32300</v>
      </c>
      <c r="I2" s="10">
        <v>63601750</v>
      </c>
      <c r="J2" t="s">
        <v>225</v>
      </c>
    </row>
    <row r="3" spans="1:10" x14ac:dyDescent="0.25">
      <c r="A3">
        <v>90102</v>
      </c>
      <c r="B3" t="s">
        <v>288</v>
      </c>
      <c r="C3" t="s">
        <v>287</v>
      </c>
      <c r="D3" t="s">
        <v>303</v>
      </c>
      <c r="E3" t="s">
        <v>23</v>
      </c>
      <c r="F3">
        <v>1</v>
      </c>
      <c r="G3" t="s">
        <v>24</v>
      </c>
      <c r="H3">
        <v>32301</v>
      </c>
      <c r="I3" s="10">
        <v>63600088</v>
      </c>
      <c r="J3" t="s">
        <v>228</v>
      </c>
    </row>
    <row r="4" spans="1:10" x14ac:dyDescent="0.25">
      <c r="A4">
        <v>90103</v>
      </c>
      <c r="B4" t="s">
        <v>289</v>
      </c>
      <c r="C4" t="s">
        <v>287</v>
      </c>
      <c r="D4" t="s">
        <v>304</v>
      </c>
      <c r="E4" t="s">
        <v>29</v>
      </c>
      <c r="F4">
        <v>3</v>
      </c>
      <c r="G4" t="s">
        <v>30</v>
      </c>
      <c r="H4">
        <v>32302</v>
      </c>
      <c r="I4" s="10">
        <v>63600578</v>
      </c>
      <c r="J4" t="s">
        <v>232</v>
      </c>
    </row>
    <row r="5" spans="1:10" x14ac:dyDescent="0.25">
      <c r="A5">
        <v>90104</v>
      </c>
      <c r="B5" t="s">
        <v>290</v>
      </c>
      <c r="C5" t="s">
        <v>287</v>
      </c>
      <c r="D5" t="s">
        <v>305</v>
      </c>
      <c r="E5" t="s">
        <v>36</v>
      </c>
      <c r="F5">
        <v>4</v>
      </c>
      <c r="G5" t="s">
        <v>37</v>
      </c>
      <c r="H5">
        <v>32303</v>
      </c>
      <c r="I5" s="10">
        <v>63607670</v>
      </c>
      <c r="J5" t="s">
        <v>235</v>
      </c>
    </row>
    <row r="6" spans="1:10" x14ac:dyDescent="0.25">
      <c r="A6">
        <v>90105</v>
      </c>
      <c r="B6" t="s">
        <v>291</v>
      </c>
      <c r="C6" t="s">
        <v>292</v>
      </c>
      <c r="D6" t="s">
        <v>306</v>
      </c>
      <c r="E6" t="s">
        <v>43</v>
      </c>
      <c r="F6">
        <v>3</v>
      </c>
      <c r="G6" t="s">
        <v>44</v>
      </c>
      <c r="H6">
        <v>32304</v>
      </c>
      <c r="I6" s="10">
        <v>63607915</v>
      </c>
      <c r="J6" t="s">
        <v>238</v>
      </c>
    </row>
    <row r="7" spans="1:10" x14ac:dyDescent="0.25">
      <c r="A7">
        <v>90106</v>
      </c>
      <c r="B7" t="s">
        <v>293</v>
      </c>
      <c r="C7" t="s">
        <v>292</v>
      </c>
      <c r="D7" t="s">
        <v>307</v>
      </c>
      <c r="E7" t="s">
        <v>50</v>
      </c>
      <c r="F7">
        <v>3</v>
      </c>
      <c r="G7" t="s">
        <v>51</v>
      </c>
      <c r="H7">
        <v>32305</v>
      </c>
      <c r="I7" s="10">
        <v>63603004</v>
      </c>
      <c r="J7" t="s">
        <v>241</v>
      </c>
    </row>
    <row r="8" spans="1:10" x14ac:dyDescent="0.25">
      <c r="A8">
        <v>90107</v>
      </c>
      <c r="B8" t="s">
        <v>294</v>
      </c>
      <c r="C8" t="s">
        <v>292</v>
      </c>
      <c r="D8" t="s">
        <v>308</v>
      </c>
      <c r="E8" t="s">
        <v>57</v>
      </c>
      <c r="F8">
        <v>3</v>
      </c>
      <c r="G8" t="s">
        <v>58</v>
      </c>
      <c r="H8">
        <v>32306</v>
      </c>
      <c r="I8" s="10">
        <v>63606971</v>
      </c>
      <c r="J8" t="s">
        <v>243</v>
      </c>
    </row>
    <row r="9" spans="1:10" x14ac:dyDescent="0.25">
      <c r="A9">
        <v>90108</v>
      </c>
      <c r="B9" t="s">
        <v>295</v>
      </c>
      <c r="C9" t="s">
        <v>287</v>
      </c>
      <c r="D9" t="s">
        <v>309</v>
      </c>
      <c r="E9" t="s">
        <v>64</v>
      </c>
      <c r="F9">
        <v>3</v>
      </c>
      <c r="G9" t="s">
        <v>65</v>
      </c>
      <c r="H9">
        <v>32307</v>
      </c>
      <c r="I9" s="10">
        <v>63603005</v>
      </c>
      <c r="J9" t="s">
        <v>245</v>
      </c>
    </row>
    <row r="10" spans="1:10" x14ac:dyDescent="0.25">
      <c r="A10">
        <v>90109</v>
      </c>
      <c r="B10" t="s">
        <v>296</v>
      </c>
      <c r="C10" t="s">
        <v>287</v>
      </c>
      <c r="D10" t="s">
        <v>310</v>
      </c>
      <c r="E10" t="s">
        <v>15</v>
      </c>
      <c r="F10">
        <v>2</v>
      </c>
      <c r="G10" t="s">
        <v>71</v>
      </c>
      <c r="H10">
        <v>32308</v>
      </c>
      <c r="I10" s="10">
        <v>63600824</v>
      </c>
      <c r="J10" t="s">
        <v>248</v>
      </c>
    </row>
    <row r="11" spans="1:10" x14ac:dyDescent="0.25">
      <c r="A11">
        <v>90110</v>
      </c>
      <c r="B11" t="s">
        <v>297</v>
      </c>
      <c r="C11" t="s">
        <v>287</v>
      </c>
      <c r="D11" t="s">
        <v>311</v>
      </c>
      <c r="E11" t="s">
        <v>23</v>
      </c>
      <c r="F11">
        <v>2</v>
      </c>
      <c r="G11" t="s">
        <v>75</v>
      </c>
      <c r="H11">
        <v>32309</v>
      </c>
      <c r="I11" s="10">
        <v>63600941</v>
      </c>
      <c r="J11" t="s">
        <v>250</v>
      </c>
    </row>
    <row r="12" spans="1:10" x14ac:dyDescent="0.25">
      <c r="A12">
        <v>90111</v>
      </c>
      <c r="B12" t="s">
        <v>298</v>
      </c>
      <c r="C12" t="s">
        <v>292</v>
      </c>
      <c r="D12" t="s">
        <v>312</v>
      </c>
      <c r="E12" t="s">
        <v>29</v>
      </c>
      <c r="F12">
        <v>3</v>
      </c>
      <c r="G12" t="s">
        <v>80</v>
      </c>
      <c r="H12">
        <v>32310</v>
      </c>
      <c r="I12" s="10">
        <v>63607475</v>
      </c>
      <c r="J12" t="s">
        <v>252</v>
      </c>
    </row>
    <row r="13" spans="1:10" x14ac:dyDescent="0.25">
      <c r="A13">
        <v>90112</v>
      </c>
      <c r="B13" t="s">
        <v>299</v>
      </c>
      <c r="C13" t="s">
        <v>287</v>
      </c>
      <c r="D13" t="s">
        <v>313</v>
      </c>
      <c r="E13" t="s">
        <v>36</v>
      </c>
      <c r="F13">
        <v>2</v>
      </c>
      <c r="G13" t="s">
        <v>84</v>
      </c>
      <c r="H13">
        <v>32311</v>
      </c>
      <c r="I13" s="10">
        <v>63607179</v>
      </c>
      <c r="J13" t="s">
        <v>255</v>
      </c>
    </row>
    <row r="14" spans="1:10" x14ac:dyDescent="0.25">
      <c r="A14">
        <v>90113</v>
      </c>
      <c r="B14" t="s">
        <v>300</v>
      </c>
      <c r="C14" t="s">
        <v>287</v>
      </c>
      <c r="D14" t="s">
        <v>314</v>
      </c>
      <c r="E14" t="s">
        <v>43</v>
      </c>
      <c r="F14">
        <v>2</v>
      </c>
      <c r="G14" t="s">
        <v>88</v>
      </c>
      <c r="H14">
        <v>32312</v>
      </c>
      <c r="I14" s="11">
        <v>63606207</v>
      </c>
      <c r="J14" t="s">
        <v>259</v>
      </c>
    </row>
    <row r="15" spans="1:10" x14ac:dyDescent="0.25">
      <c r="A15">
        <v>90114</v>
      </c>
      <c r="B15" t="s">
        <v>260</v>
      </c>
      <c r="C15" s="9" t="s">
        <v>301</v>
      </c>
      <c r="D15" t="s">
        <v>315</v>
      </c>
      <c r="E15" t="s">
        <v>50</v>
      </c>
      <c r="F15">
        <v>1</v>
      </c>
      <c r="G15" t="s">
        <v>93</v>
      </c>
      <c r="H15">
        <v>32313</v>
      </c>
      <c r="I15" s="12">
        <v>63607833</v>
      </c>
      <c r="J15" t="s">
        <v>262</v>
      </c>
    </row>
    <row r="16" spans="1:10" x14ac:dyDescent="0.25">
      <c r="A16">
        <v>90115</v>
      </c>
      <c r="B16" t="s">
        <v>263</v>
      </c>
      <c r="C16" s="9" t="s">
        <v>301</v>
      </c>
      <c r="D16" t="s">
        <v>316</v>
      </c>
      <c r="E16" t="s">
        <v>57</v>
      </c>
      <c r="F16">
        <v>3</v>
      </c>
      <c r="G16" t="s">
        <v>98</v>
      </c>
      <c r="H16">
        <v>32314</v>
      </c>
      <c r="I16" s="12">
        <v>63607397</v>
      </c>
      <c r="J16" t="s">
        <v>265</v>
      </c>
    </row>
    <row r="17" spans="1:10" x14ac:dyDescent="0.25">
      <c r="A17">
        <v>90116</v>
      </c>
      <c r="B17" t="s">
        <v>266</v>
      </c>
      <c r="C17" s="9" t="s">
        <v>276</v>
      </c>
      <c r="D17" t="s">
        <v>317</v>
      </c>
      <c r="E17" t="s">
        <v>64</v>
      </c>
      <c r="F17">
        <v>2</v>
      </c>
      <c r="G17" t="s">
        <v>103</v>
      </c>
      <c r="H17">
        <v>32315</v>
      </c>
      <c r="I17" s="12">
        <v>63607500</v>
      </c>
      <c r="J17" t="s">
        <v>267</v>
      </c>
    </row>
    <row r="20" spans="1:10" x14ac:dyDescent="0.25">
      <c r="I20" s="4"/>
    </row>
    <row r="21" spans="1:10" x14ac:dyDescent="0.25">
      <c r="I21" s="4"/>
    </row>
    <row r="22" spans="1:10" x14ac:dyDescent="0.25">
      <c r="I22" s="4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85" zoomScaleNormal="85" workbookViewId="0">
      <selection activeCell="F38" sqref="F38"/>
    </sheetView>
  </sheetViews>
  <sheetFormatPr defaultColWidth="9" defaultRowHeight="14.4" x14ac:dyDescent="0.25"/>
  <cols>
    <col min="5" max="5" width="11" customWidth="1"/>
    <col min="6" max="6" width="9.88671875" bestFit="1" customWidth="1"/>
    <col min="7" max="7" width="11.88671875" customWidth="1"/>
    <col min="8" max="8" width="31.109375" customWidth="1"/>
    <col min="9" max="9" width="10.77734375" customWidth="1"/>
  </cols>
  <sheetData>
    <row r="1" spans="1:10" x14ac:dyDescent="0.25">
      <c r="A1" t="s">
        <v>206</v>
      </c>
      <c r="B1" t="s">
        <v>207</v>
      </c>
      <c r="C1" t="s">
        <v>6</v>
      </c>
      <c r="D1" t="s">
        <v>7</v>
      </c>
      <c r="E1" t="s">
        <v>183</v>
      </c>
      <c r="F1" t="s">
        <v>188</v>
      </c>
      <c r="G1" t="s">
        <v>208</v>
      </c>
      <c r="H1" t="s">
        <v>209</v>
      </c>
      <c r="I1" t="s">
        <v>210</v>
      </c>
      <c r="J1" t="s">
        <v>211</v>
      </c>
    </row>
    <row r="2" spans="1:10" x14ac:dyDescent="0.25">
      <c r="A2">
        <v>50101</v>
      </c>
      <c r="B2" s="12">
        <v>90101</v>
      </c>
      <c r="C2" t="s">
        <v>212</v>
      </c>
      <c r="D2" s="2" t="s">
        <v>18</v>
      </c>
      <c r="E2">
        <v>3001</v>
      </c>
      <c r="F2">
        <v>1</v>
      </c>
      <c r="G2">
        <v>1</v>
      </c>
      <c r="H2" s="9" t="s">
        <v>338</v>
      </c>
      <c r="I2" s="9" t="s">
        <v>318</v>
      </c>
      <c r="J2">
        <v>3</v>
      </c>
    </row>
    <row r="3" spans="1:10" x14ac:dyDescent="0.25">
      <c r="A3">
        <v>50102</v>
      </c>
      <c r="B3" s="12">
        <v>90102</v>
      </c>
      <c r="C3" t="s">
        <v>213</v>
      </c>
      <c r="D3" s="2" t="s">
        <v>26</v>
      </c>
      <c r="E3">
        <v>3014</v>
      </c>
      <c r="F3">
        <v>1</v>
      </c>
      <c r="G3">
        <v>1</v>
      </c>
      <c r="H3" s="9" t="s">
        <v>334</v>
      </c>
      <c r="I3" s="9" t="s">
        <v>319</v>
      </c>
      <c r="J3">
        <v>2</v>
      </c>
    </row>
    <row r="4" spans="1:10" x14ac:dyDescent="0.25">
      <c r="A4">
        <v>50103</v>
      </c>
      <c r="B4" s="12">
        <v>90103</v>
      </c>
      <c r="C4" t="s">
        <v>214</v>
      </c>
      <c r="D4" s="2" t="s">
        <v>32</v>
      </c>
      <c r="E4">
        <v>3002</v>
      </c>
      <c r="F4">
        <v>2</v>
      </c>
      <c r="G4">
        <v>1</v>
      </c>
      <c r="H4" s="9" t="s">
        <v>335</v>
      </c>
      <c r="I4" s="9" t="s">
        <v>320</v>
      </c>
      <c r="J4">
        <v>4</v>
      </c>
    </row>
    <row r="5" spans="1:10" x14ac:dyDescent="0.25">
      <c r="A5">
        <v>50104</v>
      </c>
      <c r="B5" s="12">
        <v>90104</v>
      </c>
      <c r="C5" t="s">
        <v>215</v>
      </c>
      <c r="D5" s="2" t="s">
        <v>39</v>
      </c>
      <c r="E5">
        <v>3007</v>
      </c>
      <c r="F5">
        <v>1</v>
      </c>
      <c r="G5">
        <v>1</v>
      </c>
      <c r="H5" s="9" t="s">
        <v>336</v>
      </c>
      <c r="I5" s="9" t="s">
        <v>321</v>
      </c>
      <c r="J5">
        <v>4</v>
      </c>
    </row>
    <row r="6" spans="1:10" x14ac:dyDescent="0.25">
      <c r="A6">
        <v>50105</v>
      </c>
      <c r="B6" s="12">
        <v>90105</v>
      </c>
      <c r="C6" t="s">
        <v>216</v>
      </c>
      <c r="D6" s="2" t="s">
        <v>46</v>
      </c>
      <c r="E6">
        <v>3004</v>
      </c>
      <c r="F6">
        <v>1</v>
      </c>
      <c r="G6">
        <v>1</v>
      </c>
      <c r="H6" s="9" t="s">
        <v>337</v>
      </c>
      <c r="I6" s="9" t="s">
        <v>322</v>
      </c>
      <c r="J6">
        <v>2</v>
      </c>
    </row>
    <row r="7" spans="1:10" x14ac:dyDescent="0.25">
      <c r="A7">
        <v>50106</v>
      </c>
      <c r="B7" s="12">
        <v>90106</v>
      </c>
      <c r="C7" t="s">
        <v>217</v>
      </c>
      <c r="D7" s="2" t="s">
        <v>53</v>
      </c>
      <c r="E7">
        <v>3015</v>
      </c>
      <c r="F7">
        <v>1</v>
      </c>
      <c r="G7">
        <v>1</v>
      </c>
      <c r="H7" s="9" t="s">
        <v>339</v>
      </c>
      <c r="I7" s="9" t="s">
        <v>323</v>
      </c>
      <c r="J7">
        <v>1</v>
      </c>
    </row>
    <row r="8" spans="1:10" x14ac:dyDescent="0.25">
      <c r="A8">
        <v>50107</v>
      </c>
      <c r="B8" s="12">
        <v>90107</v>
      </c>
      <c r="C8" t="s">
        <v>218</v>
      </c>
      <c r="D8" s="2" t="s">
        <v>60</v>
      </c>
      <c r="E8">
        <v>3006</v>
      </c>
      <c r="F8">
        <v>1</v>
      </c>
      <c r="G8">
        <v>1</v>
      </c>
      <c r="H8" s="9" t="s">
        <v>340</v>
      </c>
      <c r="I8" s="9" t="s">
        <v>324</v>
      </c>
      <c r="J8">
        <v>1</v>
      </c>
    </row>
    <row r="9" spans="1:10" x14ac:dyDescent="0.25">
      <c r="A9">
        <v>50108</v>
      </c>
      <c r="B9" s="12">
        <v>90108</v>
      </c>
      <c r="C9" t="s">
        <v>219</v>
      </c>
      <c r="D9" s="2" t="s">
        <v>67</v>
      </c>
      <c r="E9">
        <v>3009</v>
      </c>
      <c r="F9">
        <v>2</v>
      </c>
      <c r="G9">
        <v>1</v>
      </c>
      <c r="H9" s="9" t="s">
        <v>341</v>
      </c>
      <c r="I9" s="9" t="s">
        <v>325</v>
      </c>
      <c r="J9">
        <v>2</v>
      </c>
    </row>
    <row r="10" spans="1:10" x14ac:dyDescent="0.25">
      <c r="A10">
        <v>50109</v>
      </c>
      <c r="B10" s="12">
        <v>90109</v>
      </c>
      <c r="C10" t="s">
        <v>212</v>
      </c>
      <c r="D10" s="2" t="s">
        <v>110</v>
      </c>
      <c r="E10">
        <v>3008</v>
      </c>
      <c r="F10">
        <v>2</v>
      </c>
      <c r="G10">
        <v>2</v>
      </c>
      <c r="H10" s="9" t="s">
        <v>342</v>
      </c>
      <c r="I10" s="9" t="s">
        <v>326</v>
      </c>
      <c r="J10">
        <v>3</v>
      </c>
    </row>
    <row r="11" spans="1:10" x14ac:dyDescent="0.25">
      <c r="A11">
        <v>50110</v>
      </c>
      <c r="B11" s="12">
        <v>90110</v>
      </c>
      <c r="C11" t="s">
        <v>213</v>
      </c>
      <c r="D11" s="2" t="s">
        <v>115</v>
      </c>
      <c r="E11">
        <v>3016</v>
      </c>
      <c r="F11">
        <v>2</v>
      </c>
      <c r="G11">
        <v>2</v>
      </c>
      <c r="H11" s="9" t="s">
        <v>339</v>
      </c>
      <c r="I11" s="9" t="s">
        <v>327</v>
      </c>
      <c r="J11">
        <v>1</v>
      </c>
    </row>
    <row r="12" spans="1:10" x14ac:dyDescent="0.25">
      <c r="A12">
        <v>50111</v>
      </c>
      <c r="B12" s="12">
        <v>90111</v>
      </c>
      <c r="C12" t="s">
        <v>214</v>
      </c>
      <c r="D12" s="2" t="s">
        <v>120</v>
      </c>
      <c r="E12">
        <v>3013</v>
      </c>
      <c r="F12">
        <v>1</v>
      </c>
      <c r="G12">
        <v>2</v>
      </c>
      <c r="H12" s="9" t="s">
        <v>343</v>
      </c>
      <c r="I12" s="9" t="s">
        <v>328</v>
      </c>
      <c r="J12">
        <v>5</v>
      </c>
    </row>
    <row r="13" spans="1:10" x14ac:dyDescent="0.25">
      <c r="A13">
        <v>50112</v>
      </c>
      <c r="B13" s="12">
        <v>90112</v>
      </c>
      <c r="C13" t="s">
        <v>215</v>
      </c>
      <c r="D13" s="2" t="s">
        <v>124</v>
      </c>
      <c r="E13">
        <v>3010</v>
      </c>
      <c r="F13">
        <v>2</v>
      </c>
      <c r="G13">
        <v>2</v>
      </c>
      <c r="H13" s="9" t="s">
        <v>344</v>
      </c>
      <c r="I13" s="9" t="s">
        <v>329</v>
      </c>
      <c r="J13">
        <v>4</v>
      </c>
    </row>
    <row r="14" spans="1:10" x14ac:dyDescent="0.25">
      <c r="A14">
        <v>50113</v>
      </c>
      <c r="B14" s="12">
        <v>90113</v>
      </c>
      <c r="C14" t="s">
        <v>216</v>
      </c>
      <c r="D14" s="2" t="s">
        <v>130</v>
      </c>
      <c r="E14">
        <v>3011</v>
      </c>
      <c r="F14">
        <v>2</v>
      </c>
      <c r="G14">
        <v>2</v>
      </c>
      <c r="H14" s="9" t="s">
        <v>345</v>
      </c>
      <c r="I14" s="9" t="s">
        <v>330</v>
      </c>
      <c r="J14">
        <v>2</v>
      </c>
    </row>
    <row r="15" spans="1:10" x14ac:dyDescent="0.25">
      <c r="A15">
        <v>50114</v>
      </c>
      <c r="B15" s="12">
        <v>90114</v>
      </c>
      <c r="C15" t="s">
        <v>217</v>
      </c>
      <c r="D15" s="2" t="s">
        <v>136</v>
      </c>
      <c r="E15">
        <v>3012</v>
      </c>
      <c r="F15">
        <v>2</v>
      </c>
      <c r="G15">
        <v>2</v>
      </c>
      <c r="H15" s="9" t="s">
        <v>346</v>
      </c>
      <c r="I15" s="9" t="s">
        <v>331</v>
      </c>
      <c r="J15">
        <v>3</v>
      </c>
    </row>
    <row r="16" spans="1:10" x14ac:dyDescent="0.25">
      <c r="A16">
        <v>50115</v>
      </c>
      <c r="B16" s="12">
        <v>90115</v>
      </c>
      <c r="C16" t="s">
        <v>218</v>
      </c>
      <c r="D16" s="2" t="s">
        <v>141</v>
      </c>
      <c r="E16">
        <v>3005</v>
      </c>
      <c r="F16">
        <v>2</v>
      </c>
      <c r="G16">
        <v>2</v>
      </c>
      <c r="H16" s="9" t="s">
        <v>347</v>
      </c>
      <c r="I16" s="9" t="s">
        <v>332</v>
      </c>
      <c r="J16">
        <v>2</v>
      </c>
    </row>
    <row r="17" spans="1:10" x14ac:dyDescent="0.25">
      <c r="A17">
        <v>50116</v>
      </c>
      <c r="B17" s="12">
        <v>90116</v>
      </c>
      <c r="C17" t="s">
        <v>219</v>
      </c>
      <c r="D17" s="2" t="s">
        <v>147</v>
      </c>
      <c r="E17">
        <v>3003</v>
      </c>
      <c r="F17">
        <v>1</v>
      </c>
      <c r="G17">
        <v>2</v>
      </c>
      <c r="H17" s="9" t="s">
        <v>348</v>
      </c>
      <c r="I17" s="9" t="s">
        <v>333</v>
      </c>
      <c r="J17">
        <v>2</v>
      </c>
    </row>
  </sheetData>
  <phoneticPr fontId="8" type="noConversion"/>
  <conditionalFormatting sqref="D2:D17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31" sqref="C31"/>
    </sheetView>
  </sheetViews>
  <sheetFormatPr defaultColWidth="9" defaultRowHeight="14.4" x14ac:dyDescent="0.25"/>
  <cols>
    <col min="1" max="1" width="11.21875" customWidth="1"/>
    <col min="6" max="6" width="30" customWidth="1"/>
  </cols>
  <sheetData>
    <row r="1" spans="1:6" x14ac:dyDescent="0.25">
      <c r="A1" t="s">
        <v>15</v>
      </c>
      <c r="B1">
        <v>10001</v>
      </c>
    </row>
    <row r="2" spans="1:6" x14ac:dyDescent="0.25">
      <c r="A2" t="s">
        <v>23</v>
      </c>
      <c r="B2">
        <v>10002</v>
      </c>
      <c r="E2" t="s">
        <v>220</v>
      </c>
      <c r="F2" t="s">
        <v>221</v>
      </c>
    </row>
    <row r="3" spans="1:6" x14ac:dyDescent="0.25">
      <c r="A3" t="s">
        <v>29</v>
      </c>
      <c r="B3">
        <v>10003</v>
      </c>
    </row>
    <row r="4" spans="1:6" x14ac:dyDescent="0.25">
      <c r="A4" t="s">
        <v>36</v>
      </c>
      <c r="B4">
        <v>10004</v>
      </c>
    </row>
    <row r="5" spans="1:6" x14ac:dyDescent="0.25">
      <c r="A5" t="s">
        <v>43</v>
      </c>
      <c r="B5">
        <v>10005</v>
      </c>
    </row>
    <row r="6" spans="1:6" x14ac:dyDescent="0.25">
      <c r="A6" t="s">
        <v>50</v>
      </c>
      <c r="B6">
        <v>10006</v>
      </c>
    </row>
    <row r="7" spans="1:6" x14ac:dyDescent="0.25">
      <c r="A7" t="s">
        <v>57</v>
      </c>
      <c r="B7">
        <v>10007</v>
      </c>
    </row>
    <row r="8" spans="1:6" x14ac:dyDescent="0.25">
      <c r="A8" t="s">
        <v>64</v>
      </c>
      <c r="B8">
        <v>10008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17" sqref="A14:D17"/>
    </sheetView>
  </sheetViews>
  <sheetFormatPr defaultRowHeight="14.4" x14ac:dyDescent="0.25"/>
  <cols>
    <col min="6" max="6" width="9.6640625" bestFit="1" customWidth="1"/>
  </cols>
  <sheetData>
    <row r="1" spans="1:6" ht="51" x14ac:dyDescent="0.25">
      <c r="A1" s="5" t="s">
        <v>223</v>
      </c>
      <c r="B1" s="4" t="s">
        <v>224</v>
      </c>
      <c r="C1" s="4">
        <v>63601750</v>
      </c>
      <c r="D1" s="4" t="s">
        <v>225</v>
      </c>
      <c r="E1" s="6"/>
      <c r="F1" s="4" t="s">
        <v>226</v>
      </c>
    </row>
    <row r="2" spans="1:6" ht="40.799999999999997" x14ac:dyDescent="0.25">
      <c r="A2" s="5" t="s">
        <v>227</v>
      </c>
      <c r="B2" s="4" t="s">
        <v>224</v>
      </c>
      <c r="C2" s="4">
        <v>63600088</v>
      </c>
      <c r="D2" s="4" t="s">
        <v>228</v>
      </c>
      <c r="E2" s="4" t="s">
        <v>229</v>
      </c>
      <c r="F2" s="4" t="s">
        <v>230</v>
      </c>
    </row>
    <row r="3" spans="1:6" ht="30.6" x14ac:dyDescent="0.25">
      <c r="A3" s="5" t="s">
        <v>231</v>
      </c>
      <c r="B3" s="4" t="s">
        <v>224</v>
      </c>
      <c r="C3" s="4">
        <v>63600578</v>
      </c>
      <c r="D3" s="4" t="s">
        <v>232</v>
      </c>
      <c r="E3" s="6"/>
      <c r="F3" s="4" t="s">
        <v>233</v>
      </c>
    </row>
    <row r="4" spans="1:6" ht="27.6" x14ac:dyDescent="0.25">
      <c r="A4" s="5" t="s">
        <v>234</v>
      </c>
      <c r="B4" s="7" t="s">
        <v>224</v>
      </c>
      <c r="C4" s="7">
        <v>63607670</v>
      </c>
      <c r="D4" s="4" t="s">
        <v>235</v>
      </c>
      <c r="E4" s="6"/>
      <c r="F4" s="4" t="s">
        <v>236</v>
      </c>
    </row>
    <row r="5" spans="1:6" ht="20.399999999999999" x14ac:dyDescent="0.25">
      <c r="A5" s="5" t="s">
        <v>237</v>
      </c>
      <c r="B5" s="4" t="s">
        <v>224</v>
      </c>
      <c r="C5" s="4">
        <v>63607915</v>
      </c>
      <c r="D5" s="4" t="s">
        <v>238</v>
      </c>
      <c r="E5" s="6"/>
      <c r="F5" s="4" t="s">
        <v>239</v>
      </c>
    </row>
    <row r="6" spans="1:6" x14ac:dyDescent="0.25">
      <c r="A6" s="5" t="s">
        <v>240</v>
      </c>
      <c r="B6" s="4" t="s">
        <v>224</v>
      </c>
      <c r="C6" s="4">
        <v>63603004</v>
      </c>
      <c r="D6" s="4" t="s">
        <v>241</v>
      </c>
      <c r="E6" s="3"/>
      <c r="F6" s="6"/>
    </row>
    <row r="7" spans="1:6" x14ac:dyDescent="0.25">
      <c r="A7" s="5" t="s">
        <v>242</v>
      </c>
      <c r="B7" s="4" t="s">
        <v>224</v>
      </c>
      <c r="C7" s="4">
        <v>63606971</v>
      </c>
      <c r="D7" s="4" t="s">
        <v>243</v>
      </c>
      <c r="E7" s="6"/>
      <c r="F7" s="6"/>
    </row>
    <row r="8" spans="1:6" ht="40.799999999999997" x14ac:dyDescent="0.25">
      <c r="A8" s="5" t="s">
        <v>244</v>
      </c>
      <c r="B8" s="4" t="s">
        <v>224</v>
      </c>
      <c r="C8" s="4">
        <v>63603005</v>
      </c>
      <c r="D8" s="4" t="s">
        <v>245</v>
      </c>
      <c r="E8" s="4" t="s">
        <v>246</v>
      </c>
      <c r="F8" s="6"/>
    </row>
    <row r="9" spans="1:6" x14ac:dyDescent="0.25">
      <c r="A9" s="5" t="s">
        <v>247</v>
      </c>
      <c r="B9" s="4" t="s">
        <v>224</v>
      </c>
      <c r="C9" s="4">
        <v>63600824</v>
      </c>
      <c r="D9" s="4" t="s">
        <v>248</v>
      </c>
      <c r="E9" s="6"/>
      <c r="F9" s="6"/>
    </row>
    <row r="10" spans="1:6" x14ac:dyDescent="0.25">
      <c r="A10" s="5" t="s">
        <v>249</v>
      </c>
      <c r="B10" s="4" t="s">
        <v>224</v>
      </c>
      <c r="C10" s="4">
        <v>63600941</v>
      </c>
      <c r="D10" s="4" t="s">
        <v>250</v>
      </c>
      <c r="E10" s="6"/>
      <c r="F10" s="6"/>
    </row>
    <row r="11" spans="1:6" ht="20.399999999999999" x14ac:dyDescent="0.25">
      <c r="A11" s="5" t="s">
        <v>251</v>
      </c>
      <c r="B11" s="4" t="s">
        <v>224</v>
      </c>
      <c r="C11" s="4">
        <v>63607475</v>
      </c>
      <c r="D11" s="4" t="s">
        <v>252</v>
      </c>
      <c r="E11" s="4" t="s">
        <v>253</v>
      </c>
      <c r="F11" s="6"/>
    </row>
    <row r="12" spans="1:6" x14ac:dyDescent="0.25">
      <c r="A12" s="5" t="s">
        <v>254</v>
      </c>
      <c r="B12" s="4" t="s">
        <v>224</v>
      </c>
      <c r="C12" s="4">
        <v>63607179</v>
      </c>
      <c r="D12" s="4" t="s">
        <v>255</v>
      </c>
      <c r="E12" s="4" t="s">
        <v>256</v>
      </c>
      <c r="F12" s="6"/>
    </row>
    <row r="13" spans="1:6" x14ac:dyDescent="0.25">
      <c r="A13" s="5" t="s">
        <v>257</v>
      </c>
      <c r="B13" s="4" t="s">
        <v>224</v>
      </c>
      <c r="C13" s="4" t="s">
        <v>258</v>
      </c>
      <c r="D13" s="4" t="s">
        <v>259</v>
      </c>
      <c r="E13" s="6"/>
      <c r="F13" s="6"/>
    </row>
    <row r="14" spans="1:6" x14ac:dyDescent="0.25">
      <c r="A14" s="5" t="s">
        <v>260</v>
      </c>
      <c r="B14" s="4" t="s">
        <v>224</v>
      </c>
      <c r="C14" s="4" t="s">
        <v>261</v>
      </c>
      <c r="D14" s="4" t="s">
        <v>262</v>
      </c>
      <c r="E14" s="6"/>
      <c r="F14" s="6"/>
    </row>
    <row r="15" spans="1:6" x14ac:dyDescent="0.25">
      <c r="A15" s="5" t="s">
        <v>263</v>
      </c>
      <c r="B15" s="4" t="s">
        <v>224</v>
      </c>
      <c r="C15" s="4" t="s">
        <v>264</v>
      </c>
      <c r="D15" s="4" t="s">
        <v>265</v>
      </c>
      <c r="E15" s="6"/>
      <c r="F15" s="6"/>
    </row>
    <row r="16" spans="1:6" x14ac:dyDescent="0.25">
      <c r="A16" s="5" t="s">
        <v>266</v>
      </c>
      <c r="B16" s="8" t="s">
        <v>224</v>
      </c>
      <c r="C16" s="4">
        <v>63607500</v>
      </c>
      <c r="D16" s="4" t="s">
        <v>267</v>
      </c>
      <c r="E16" s="6"/>
      <c r="F16" s="6"/>
    </row>
    <row r="17" spans="1:6" x14ac:dyDescent="0.25">
      <c r="A17" s="5" t="s">
        <v>268</v>
      </c>
      <c r="B17" s="4" t="s">
        <v>224</v>
      </c>
      <c r="C17" s="4">
        <v>63607370</v>
      </c>
      <c r="D17" s="4" t="s">
        <v>269</v>
      </c>
      <c r="E17" s="6"/>
      <c r="F17" s="6"/>
    </row>
    <row r="18" spans="1:6" x14ac:dyDescent="0.25">
      <c r="A18" s="5" t="s">
        <v>270</v>
      </c>
      <c r="B18" s="4" t="s">
        <v>224</v>
      </c>
      <c r="C18" s="4" t="s">
        <v>271</v>
      </c>
      <c r="D18" s="4" t="s">
        <v>272</v>
      </c>
      <c r="E18" s="6"/>
      <c r="F18" s="6"/>
    </row>
    <row r="19" spans="1:6" x14ac:dyDescent="0.25">
      <c r="A19" s="5" t="s">
        <v>273</v>
      </c>
      <c r="B19" s="4" t="s">
        <v>224</v>
      </c>
      <c r="C19" s="4" t="s">
        <v>274</v>
      </c>
      <c r="D19" s="4" t="s">
        <v>275</v>
      </c>
      <c r="E19" s="6"/>
      <c r="F19" s="6"/>
    </row>
  </sheetData>
  <phoneticPr fontId="8" type="noConversion"/>
  <hyperlinks>
    <hyperlink ref="A1" r:id="rId1" display="http://staff.ustc.edu.cn/~sfyang/"/>
    <hyperlink ref="A2" r:id="rId2" display="http://mse.ustc.edu.cn/2010/0707/c3333a28958/page.htm"/>
    <hyperlink ref="A3" r:id="rId3" display="http://mse.ustc.edu.cn/2010/0707/c3333a28961/page.htm"/>
    <hyperlink ref="A4" r:id="rId4" display="http://staff.ustc.edu.cn/~zhuyanwu/index.html"/>
    <hyperlink ref="A5" r:id="rId5" display="http://staff.ustc.edu.cn/~xjwu/"/>
    <hyperlink ref="A6" r:id="rId6" display="http://yllu.ustc.edu.cn/"/>
    <hyperlink ref="A7" r:id="rId7" display="http://libattery.ustc.edu.cn/"/>
    <hyperlink ref="A8" r:id="rId8" display="http://mse.ustc.edu.cn/2010/0707/c3333a28956/page.htm"/>
    <hyperlink ref="A9" r:id="rId9" display="http://mse.ustc.edu.cn/2010/0707/c3333a28963/page.htm"/>
    <hyperlink ref="A10" r:id="rId10" display="http://mse.ustc.edu.cn/2010/0707/c3333a28986/page.htm"/>
    <hyperlink ref="A11" r:id="rId11" display="http://staff.ustc.edu.cn/~xiacr/index.html"/>
    <hyperlink ref="A12" r:id="rId12" display="http://staff.ustc.edu.cn/~yanyumse/index.html"/>
    <hyperlink ref="A13" r:id="rId13" display="http://staff.ustc.edu.cn/~dupingwu/index.html"/>
    <hyperlink ref="A14" r:id="rId14" display="http://mse.ustc.edu.cn/2012/0912/c3333a29001/page.htm"/>
    <hyperlink ref="A15" r:id="rId15" display="http://staff.ustc.edu.cn/~chubj/index.html"/>
    <hyperlink ref="A16" r:id="rId16" display="http://staff.ustc.edu.cn/~tchenmse/index.html"/>
    <hyperlink ref="A17" r:id="rId17" display="http://zhanglab.ustc.edu.cn/"/>
    <hyperlink ref="A18" r:id="rId18" display="http://staff.ustc.edu.cn/~mach16/"/>
    <hyperlink ref="A19" r:id="rId19" display="http://mse.ustc.edu.cn/2016/1024/c3333a29024/page.htm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student</vt:lpstr>
      <vt:lpstr>course</vt:lpstr>
      <vt:lpstr>student_course</vt:lpstr>
      <vt:lpstr>teacher</vt:lpstr>
      <vt:lpstr>teacher_course</vt:lpstr>
      <vt:lpstr>专业代码</vt:lpstr>
      <vt:lpstr>Sheet1</vt:lpstr>
      <vt:lpstr>student!提取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2020-10-30T02:00:58Z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